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árok1" sheetId="1" r:id="rId4"/>
    <sheet state="visible" name="cena_dvere" sheetId="2" r:id="rId5"/>
  </sheets>
  <definedNames>
    <definedName name="door_frame">cena_dvere!$E$3</definedName>
    <definedName name="assembly">cena_dvere!$E$1</definedName>
    <definedName name="door_frame_sale">cena_dvere!$E$4</definedName>
    <definedName name="assembly_min">cena_dvere!$E$2</definedName>
  </definedNames>
  <calcPr/>
  <extLst>
    <ext uri="GoogleSheetsCustomDataVersion2">
      <go:sheetsCustomData xmlns:go="http://customooxmlschemas.google.com/" r:id="rId6" roundtripDataChecksum="UIX4+xnQ0Qjdfewe4o9JOqAd6CSV1sxQC/PX1BwupHY="/>
    </ext>
  </extLst>
</workbook>
</file>

<file path=xl/sharedStrings.xml><?xml version="1.0" encoding="utf-8"?>
<sst xmlns="http://schemas.openxmlformats.org/spreadsheetml/2006/main" count="279" uniqueCount="235">
  <si>
    <t>STOLÁRSTVO</t>
  </si>
  <si>
    <t>MENO:</t>
  </si>
  <si>
    <t>TELEFÓN:</t>
  </si>
  <si>
    <t>SUČANSKÝ</t>
  </si>
  <si>
    <t>ADRESA:</t>
  </si>
  <si>
    <t>E-MAIL:</t>
  </si>
  <si>
    <t>CENOVÁ PONUKA INTERIÉROVÉ DVERE</t>
  </si>
  <si>
    <t>MATERIÁL:</t>
  </si>
  <si>
    <t>ROZMER</t>
  </si>
  <si>
    <t>MODEL</t>
  </si>
  <si>
    <t>MATERIÁL</t>
  </si>
  <si>
    <t>SKLO</t>
  </si>
  <si>
    <t>CENA / KS</t>
  </si>
  <si>
    <t>ZÁRUBEŇ</t>
  </si>
  <si>
    <t>KS</t>
  </si>
  <si>
    <t>CENA BEZ DPH</t>
  </si>
  <si>
    <t>Áno</t>
  </si>
  <si>
    <t>KĽUČKY nájdete na kluckynadvere.sk</t>
  </si>
  <si>
    <t>Rozeta - BB štandardný interiérový zámok</t>
  </si>
  <si>
    <t>Rozeta - WC zámok</t>
  </si>
  <si>
    <t>Rozeta - FAB zámok</t>
  </si>
  <si>
    <t>Montáž kľučiek a roziet 5€</t>
  </si>
  <si>
    <t>DOVOZ</t>
  </si>
  <si>
    <t>MESTO</t>
  </si>
  <si>
    <t>Okresné mesto. Cena prepravy je 0,5 € za km. Preprava sa počíta od výroby v obci Čachtice.</t>
  </si>
  <si>
    <t>Ulica</t>
  </si>
  <si>
    <t>Číslo domu</t>
  </si>
  <si>
    <t>Obec</t>
  </si>
  <si>
    <t>PSČ</t>
  </si>
  <si>
    <t>MONTÁŽ</t>
  </si>
  <si>
    <t>Akciová montáž dverí so zárubňou 35 € / kus. Akcia platí pri počte 6 a viac kusov. Minimálna suma na dvoch montážnikov je 210 €.</t>
  </si>
  <si>
    <t>ŠPECIÁLNE DOPLNKY</t>
  </si>
  <si>
    <t>Farebné krytky na pánty</t>
  </si>
  <si>
    <t>Farebné magnetické zámky</t>
  </si>
  <si>
    <t>Mušle na posuvné dvere</t>
  </si>
  <si>
    <t>Farebné skryté kovanie</t>
  </si>
  <si>
    <t>Náprstník na posuvné dvere</t>
  </si>
  <si>
    <t>Príplatok za striekanie</t>
  </si>
  <si>
    <t>Príplatok za dyhu</t>
  </si>
  <si>
    <t>Príplatok za sklo</t>
  </si>
  <si>
    <t>Vetracie mriežky do dverí</t>
  </si>
  <si>
    <t>MOŽNÉ PRÍPLATKY</t>
  </si>
  <si>
    <t>Výplň dutinková drevotrieska: PLNÉ HLADKÉ dvere môžu byť vyplnené papierovou voštinou alebo dutinkovou drevotrieskou za príplatok 30 €. Voština je papierová vrstva, dutinková drevotrieska je z drevenej štiepky. Dutinkovú drevotriesku odporúčame do dverí V1, ale môžu ísť do všetkých dverí z kategórie Vanesa, Petra, Gréta a Barbora. Dutinková drevotrieska je tažšia, pevnejšia a izolačnejšia.</t>
  </si>
  <si>
    <t>Silikónové tesnenie do zárubne 10 €/kus: Do zárubne vyfrézujeme drážku a do nej sa vsunie silikónové tesnenie. To má výhodu, že pri zatváraní sú dvere tichšie a keď sú zatvorené, tak silikónové tesnenie eliminuje zvuk zo susednej miestnosti.</t>
  </si>
  <si>
    <t>Vytmelenie nerovností medzi stenou a zárubňou 6 €/kus: Pri osadení zárubne môže pri krivých stenách vzniknúť medzera medzi stenou a zárubňou. Túto medzeru vieme vyplniť akrylovým silikónom. Vzhľadom na elasticitu silikónu sa dajú vymeniť iba medzery do 0,5 cm.</t>
  </si>
  <si>
    <t>Vynášanie na 3. a vyššie poschodie bez výťahu: Za vynášanie na 3. a vyššie poschodie bez výťahu sa účtuje príplatok za vynesenie dverí, zárubní, materiálu a náradia 100 €.</t>
  </si>
  <si>
    <t>Príplatok za steny hrubšie ako 20 cm 12 €/extra 10 cm: Ak sú steny hrubšie ako 20 cm, tak sa účtuje príplatok za extra materiál 12 € za každých extra 10 cm.</t>
  </si>
  <si>
    <t>Príplatok za dvere vyššie ako 207 cm 20 €/kus: Dvere s výškou 207 cm až 240 sm sú s príplatkom 20 €/kus za drahší materiál. Nie všetky materiály sa dajú dodať vo výške nad 207 cm.</t>
  </si>
  <si>
    <t>Obklad pôvodných oceľových zárubní 25 €/kus: Ak sa jedná o obklad pôvodných oveľových zárubní, tak sa účtuje príplatok 25€. Treba ale brať do úvahy, že pri obkladoch pôvodných zárubní sa stavebný otvor zúži o cca 3,5 cm z každej strany. To znamená cca 3,5 cm z hora a cca 7 cm zo šírky.</t>
  </si>
  <si>
    <t>Príplatok za zarezávanie obložiek 15 €/kus: Obložky sa pri montáži zarezávajú, ak sú nesprávne riešené stavebné otvory. Napríklad ak sú schody medzi miestnosťami viac ako 5 mm, ďalej ak nie sú úchyty na stenách na zárubnu a musí sa z obložky zrezávať, alebo ak je obklad v kúpelňi / WC do výšky menej ako je výška dverí a treva z obložky odfrézovať drážku.</t>
  </si>
  <si>
    <t>ŠPECIÁLNE PRÍPLATKY</t>
  </si>
  <si>
    <t>Cena zárubne na dvojkrídlové dvere 103 €. Montáž + 25 €.</t>
  </si>
  <si>
    <t>Posuvné dvere - kovanie Garniža 150 €. Montáž + 25 €.</t>
  </si>
  <si>
    <t>Posuvné dvere - kovanie Minima 250€. Montáž + 25 €.</t>
  </si>
  <si>
    <t>Posuvné dvere - kovanie do vstavaného púzdra 0 €. Zárubeň na vstavané púzdro 150 €. Montáž + 25 €.</t>
  </si>
  <si>
    <t>Príplatok za skryté pánty dvere 130 €. Montáž + 25 €.</t>
  </si>
  <si>
    <t>Príplatok za reverzné dvere 265 €. Montáž + 25 €.</t>
  </si>
  <si>
    <t>Dvojkrídlové bezfalcové dvere so zárubňou a montážou 285 €. Montáž + 25 €.</t>
  </si>
  <si>
    <t>Príplatok za dvojkrídlové posuvné dvere garniža 250 €. 
Montáž + 50 €.</t>
  </si>
  <si>
    <t>Príplatok za dvojkrídlové posuvné dvere Minima 350 €. 
Montáž + 50 €.</t>
  </si>
  <si>
    <t>Príplatok za dvojkrídlové posuvné dvere do púzdra 0 €. Zárubeň na dvojkrídlové dvere do púzdra 180 €. Montáž + 25 €.</t>
  </si>
  <si>
    <t>Posuvné kovanie - Barn 1 čierne 150 €. Montáž + 25 €.</t>
  </si>
  <si>
    <t>Posuvné kovanie - Minima čierne 290 €. Montáž + 25 €.</t>
  </si>
  <si>
    <t>Dvere do púzdra so zárubňou 57 €. Montáž + 25 €.</t>
  </si>
  <si>
    <t>Dvere do púzdra bez zárubne 0 €. Montáž + 25 €.</t>
  </si>
  <si>
    <t>Dvojkrídlové dvere do púzdra 87 €. Montáž + 25 €.</t>
  </si>
  <si>
    <t>Zalamovacie interiérové dvere 220 €. Montáž + 50 €.</t>
  </si>
  <si>
    <t>Posuvné kovanie - neviditeľné 490 €. Montáž + 50 €.</t>
  </si>
  <si>
    <t>Posuvné kovanie - Barn 4 čierne 210 €. Montáž + 25 €.</t>
  </si>
  <si>
    <t>Posuvné kovanie - Barn 3 čierne 190 €. Montáž + 25 €.</t>
  </si>
  <si>
    <t>Posuvné kovanie - Barn 2 čierne 180 €. Montáž + 25 €.</t>
  </si>
  <si>
    <t>CENA SPOLU BEZ DPH</t>
  </si>
  <si>
    <t>CENA SPOLU S DPH</t>
  </si>
  <si>
    <t>ZMLUVNÉ PODMIENKY</t>
  </si>
  <si>
    <r>
      <rPr>
        <rFont val="Arial"/>
        <b/>
        <color rgb="FFCE3639"/>
        <sz val="11.0"/>
      </rPr>
      <t>INTERIÉROVÉ DVERE:</t>
    </r>
    <r>
      <rPr>
        <rFont val="Arial"/>
        <color theme="1"/>
        <sz val="11.0"/>
      </rPr>
      <t xml:space="preserve"> Dvere sú certifikované ako interiérové. To znamená, že sú určené do vnútorného prostredia, ktoré je z oboch strán dverí rovnaké. V prípade, že je z jednej strany zaťažené veľkou vlhkosťou, môže dôjsť k ich prehnutiu. Dvere sú vyrobené v zmysle normy STN 74 64/01, STN 74 01/Z1, STN 74 01/Z2.</t>
    </r>
  </si>
  <si>
    <r>
      <rPr>
        <rFont val="Arial"/>
        <b/>
        <color rgb="FFCE3639"/>
        <sz val="11.0"/>
      </rPr>
      <t>BIELE STRIEKANÉ DVERE:</t>
    </r>
    <r>
      <rPr>
        <rFont val="Arial"/>
        <color theme="1"/>
        <sz val="11.0"/>
      </rPr>
      <t xml:space="preserve"> Pri bielych striekaných výrobkoch bol zákazník oboznámený s tým, že striekanie v našej firme je ručná práca, nie je to striekanie vo vákuovej miestnosti, preto sa na výrobku môže vyskytnúť drobná vada.</t>
    </r>
  </si>
  <si>
    <r>
      <rPr>
        <rFont val="Arial"/>
        <b/>
        <color rgb="FFCE3639"/>
        <sz val="11.0"/>
      </rPr>
      <t>BIELE LAMINÁTOVÉ DVERE:</t>
    </r>
    <r>
      <rPr>
        <rFont val="Arial"/>
        <color theme="1"/>
        <sz val="11.0"/>
      </rPr>
      <t xml:space="preserve"> Biely laminát nie je materiál, ktorý by bol do hĺbky biely. Biely dekor je len na povrchu. Z toho dôvodu pri tomto dekore vznikajú na všetkých hranách priznané spoje, ktoré sú vidno. </t>
    </r>
  </si>
  <si>
    <r>
      <rPr>
        <rFont val="Arial"/>
        <b/>
        <color rgb="FFCE3639"/>
        <sz val="11.0"/>
      </rPr>
      <t>POSUVNÉ DVERE:</t>
    </r>
    <r>
      <rPr>
        <rFont val="Arial"/>
        <color theme="1"/>
        <sz val="11.0"/>
      </rPr>
      <t xml:space="preserve"> Tieto dvere slúžia na predelenie priestoru. Kvôli funkčnosti dverí nevyhnutne vzniká medzi zárubňou a dverami medzera.</t>
    </r>
  </si>
  <si>
    <r>
      <rPr>
        <rFont val="Arial"/>
        <b/>
        <color rgb="FFCE3639"/>
        <sz val="11.0"/>
      </rPr>
      <t xml:space="preserve">DYHOVANÉ DVERE: </t>
    </r>
    <r>
      <rPr>
        <rFont val="Arial"/>
        <color theme="1"/>
        <sz val="11.0"/>
      </rPr>
      <t>Pri dyhovaných dverách bol zákazník oboznámený s tým, že dyha je prírodný materiál. V rámci jednej dreviny sa vyskytuje viac odtieňov.</t>
    </r>
  </si>
  <si>
    <r>
      <rPr>
        <rFont val="Arial"/>
        <b/>
        <color rgb="FFCE3639"/>
        <sz val="11.0"/>
      </rPr>
      <t>LAMINÁTOVE DVERE:</t>
    </r>
    <r>
      <rPr>
        <rFont val="Arial"/>
        <color theme="1"/>
        <sz val="11.0"/>
      </rPr>
      <t xml:space="preserve"> Pri laminovaných dverách je odtieň zaručený výrobcom. Laminátové dosky sú triedené podľa podnikovej normy, ktorá dovoľuje výskyt nečistôt v rozsahu: 2 mm2/1m2. Norma dovoľuje 2-3 ks bodiek na doske. Jednotnosť lamina je daná celou doskou dodávanou výrobcom. To namená jednotný diel, ktorý je na výrobu použitý, je v rámci jednej dosky.</t>
    </r>
  </si>
  <si>
    <r>
      <rPr>
        <rFont val="Arial"/>
        <b/>
        <color rgb="FFCE3639"/>
        <sz val="11.0"/>
      </rPr>
      <t xml:space="preserve">MONTÁŽ: </t>
    </r>
    <r>
      <rPr>
        <rFont val="Arial"/>
        <color theme="1"/>
        <sz val="11.0"/>
      </rPr>
      <t>Cena montáže dverí a zárubní zahíňa montáž bez ďalších úprav vykonaných na výrobku (zárubne a dvere) ako boli privezené na montáž. Štandardná šírka obložky je 6,5 cm. Pokiaľ sú steny a podlahy nerovné a objednávateľ si ich nevyrovná, pod obložkou nevyhnutne zostanú špáry. Výrobca nezodpovedá za nerovnosti podlahy a stien. To znamená, že pokiaľ nie sú steny rovné, pod obkladom môže vzniknúť špára, ktorá kopíruje nerovnost steny a podlahy. Špáry okolo steny je možné vyspraviť vytmelením. Tmelí sa špára maximálne 5 mm široká, vāčšie špáry si musí zákazník vyspraviť sám.
Úprava za vytmelenie nerovností okolo zárubní je samostatne započítaná v cene 6 € za 1 kus. Tmelenie okolo zárubní je možné zrušiť. V opačnom prípade je nutné, aby si dal stenu zákazník vyrovnať. Murárske práce nevykonávame. V prípade vŕtania do steny, prípadne podlahy, môže dôjsť k poškodeniu omietky alebo dlažby. Nakoľko nevieme posúdiť či sa vo vnútri nenachádza dutina, za uvedené poškodenie nepreberáme zodpovednosť. Pri montáži dverí do neštandardných stavebných otvorov, kde musia montážni pracovníci vykonať úpravy na mieste montáže elektrickým ručným náradím, nie je možné, aby kvalita opracovania touto metódou dosahovala kvality dielenskej výroby. Pokiaľ sa bude musieť upravovať na mieste hobľovaním alebo zrezávaním, musí mať zákazník priestor v byte na uvedené úpravy. Účtujeme príplatok 15 € za 1 kus. Dvere montujeme do pripravených otvorov tak, ako sa dohodlo pri zameraní. Pokiaľ si zákazník pridá pod dvere prechodové lišty, koberec, plávajúcu podlahu, teda zmení výšku pod dverami a bude nevyhnutná úprava dverí, túto mu vykonáme na základe samostatnej objednávky, teda nie je súčasťou dodávky dverí.</t>
    </r>
  </si>
  <si>
    <r>
      <rPr>
        <rFont val="Arial"/>
        <b/>
        <color rgb="FFCE3639"/>
        <sz val="11.0"/>
      </rPr>
      <t>DVERE NA MIERU:</t>
    </r>
    <r>
      <rPr>
        <rFont val="Arial"/>
        <color theme="1"/>
        <sz val="11.0"/>
      </rPr>
      <t xml:space="preserve"> Znamená atypický rozmer a nie krivosť stien. V prípade, že nie je rovná podlaha (nie je vodorovná) musí sa jedna strana podložiť a vznikne zospodu zárubne špára. Štandardný stavebný otvor je taký, ktorý má pravideľnú hrúbku múru, zo všetkých strán rovnakú. V prípade zamerania, ak nie sú položené podlahy a pri realizácií vzniknú výškové rozdiely, za tieto si nesie zodpovednosť zákazník. Pokiaľ je nutné vykonať rôzne dorezy, na už jestnujúcom zariadení bytu, napr. prechodové, okopové, soklové lišty, podlahy, parkety, skrine, treba si tieto úkony dohodnúť samostatne, na základe individuálne nastavenej ceny. Uvedené práce nie sú súčasťou dodávky. Obložky a zasklievacie lišty upevňujeme pinkami s hrúbkou 0,6 mm, ktoré sú viditeľné pri všetkých lištovaných dverách. Zasklievacie lišty majú z jednej strany viditeľné spoje. </t>
    </r>
  </si>
  <si>
    <r>
      <rPr>
        <rFont val="Arial"/>
        <b/>
        <color rgb="FFCE3639"/>
        <sz val="11.0"/>
      </rPr>
      <t>OBKLAD KOVOVÝCH ZÁRUBNÍ:</t>
    </r>
    <r>
      <rPr>
        <rFont val="Arial"/>
        <color theme="1"/>
        <sz val="11.0"/>
      </rPr>
      <t xml:space="preserve"> Pri obklade kovovej zárubne alebo pri iných atypických obloženiach stien, kde štandardná obložka neprekrýva stavebný otvor a musí sa vyrobiť širšia, je príplatok 25€ za 1 kus. Tento príplatok sa dopočíta po obhliadke, nakoľko pri predbežnej ponuke sme to nemuseli vedieť. V prípade demontáže oceľovej zárubne sa z dôvodu ručnej práce môže vyskytnúť, že sa poškodí omietka alebo náter.</t>
    </r>
  </si>
  <si>
    <r>
      <rPr>
        <rFont val="Arial"/>
        <b/>
        <color rgb="FFCE3639"/>
        <sz val="11.0"/>
      </rPr>
      <t>PARKOVANIE:</t>
    </r>
    <r>
      <rPr>
        <rFont val="Arial"/>
        <color theme="1"/>
        <sz val="11.0"/>
      </rPr>
      <t xml:space="preserve"> V prípade že nebude zabezpečené bezproblémové parkovanie a vynášanie pri vchode, účtuje sa príplatok 100 €.</t>
    </r>
  </si>
  <si>
    <r>
      <rPr>
        <rFont val="Arial"/>
        <b/>
        <color rgb="FFCE3639"/>
        <sz val="11.0"/>
      </rPr>
      <t>OPTICKÉ VADY:</t>
    </r>
    <r>
      <rPr>
        <rFont val="Arial"/>
        <color theme="1"/>
        <sz val="11.0"/>
      </rPr>
      <t xml:space="preserve"> Za optickú vadu sa považuje vada viditeľná za denného svetla zo vzdialenosti 1 meter pod uhlom, ktorý zodpovedá bežnému využitiu.
</t>
    </r>
  </si>
  <si>
    <t>Nie je našou snahou, aby sme nehovorili zákaznkovi pravdu, ale keďže výroba dverí je práca ľudských rúk, môže sa prihodiť nepredvídaná skutočnosť a preto si vyhradujeme právo posunúť i dohodnutý termín montáže o 1-3 dni.</t>
  </si>
  <si>
    <t>Zákazník si uvedomuje že 1.) nemá 2.) má rovnaké šírky a výšky</t>
  </si>
  <si>
    <t>Rozmer žiada 1.) zjednotiť 2.) nezjednotiť</t>
  </si>
  <si>
    <t>Za odvoz a likvidáciu pôvodných dverí a zárubní účtujeme..............................................Є.</t>
  </si>
  <si>
    <t>Odberateľ si všetko prečítal, súhlasí s otváravosťou a nameranými otvormi, všetko si prekontroloval a prekonzultoval všetky nejasnosti so zameriavajúcim. Je si vedomý, že nemôže chcief prácu nad rámec bez nároku na odmenu. Prácu naviac radi vykonáme, ale žiadame, aby bola zahrnutá v objednávke a uhradená.</t>
  </si>
  <si>
    <t>Code</t>
  </si>
  <si>
    <t>Price</t>
  </si>
  <si>
    <t>Assembly</t>
  </si>
  <si>
    <t>B1</t>
  </si>
  <si>
    <t>Assembly min</t>
  </si>
  <si>
    <t>B2</t>
  </si>
  <si>
    <t>Door frame</t>
  </si>
  <si>
    <t>B3</t>
  </si>
  <si>
    <t>Door frame sale</t>
  </si>
  <si>
    <t>B4</t>
  </si>
  <si>
    <t>B5</t>
  </si>
  <si>
    <t>B6</t>
  </si>
  <si>
    <t>B7</t>
  </si>
  <si>
    <t>B8</t>
  </si>
  <si>
    <t>B9</t>
  </si>
  <si>
    <t>B10</t>
  </si>
  <si>
    <t>B11</t>
  </si>
  <si>
    <t>B12</t>
  </si>
  <si>
    <t>B13</t>
  </si>
  <si>
    <t>B14</t>
  </si>
  <si>
    <t>B15</t>
  </si>
  <si>
    <t>B16</t>
  </si>
  <si>
    <t>G1</t>
  </si>
  <si>
    <t>G2</t>
  </si>
  <si>
    <t>G3</t>
  </si>
  <si>
    <t>G4</t>
  </si>
  <si>
    <t>G5</t>
  </si>
  <si>
    <t>G6</t>
  </si>
  <si>
    <t>G7</t>
  </si>
  <si>
    <t>G8</t>
  </si>
  <si>
    <t>G9</t>
  </si>
  <si>
    <t>G10</t>
  </si>
  <si>
    <t>G11</t>
  </si>
  <si>
    <t>G12</t>
  </si>
  <si>
    <t>G13</t>
  </si>
  <si>
    <t>G14</t>
  </si>
  <si>
    <t>G15</t>
  </si>
  <si>
    <t>G16</t>
  </si>
  <si>
    <t>K1</t>
  </si>
  <si>
    <t>K2</t>
  </si>
  <si>
    <t>K3</t>
  </si>
  <si>
    <t>K4</t>
  </si>
  <si>
    <t>K5</t>
  </si>
  <si>
    <t>K6</t>
  </si>
  <si>
    <t>K7</t>
  </si>
  <si>
    <t>K8</t>
  </si>
  <si>
    <t>K9</t>
  </si>
  <si>
    <t>K10</t>
  </si>
  <si>
    <t>K11</t>
  </si>
  <si>
    <t>K12</t>
  </si>
  <si>
    <t>P1</t>
  </si>
  <si>
    <t>P2</t>
  </si>
  <si>
    <t>P3</t>
  </si>
  <si>
    <t>P4</t>
  </si>
  <si>
    <t>P5</t>
  </si>
  <si>
    <t>P6</t>
  </si>
  <si>
    <t>P7</t>
  </si>
  <si>
    <t>P8</t>
  </si>
  <si>
    <t>P9</t>
  </si>
  <si>
    <t>P10</t>
  </si>
  <si>
    <t>P11</t>
  </si>
  <si>
    <t>P12</t>
  </si>
  <si>
    <t>P13</t>
  </si>
  <si>
    <t>P14</t>
  </si>
  <si>
    <t>P15</t>
  </si>
  <si>
    <t>P16</t>
  </si>
  <si>
    <t>R1</t>
  </si>
  <si>
    <t>R2</t>
  </si>
  <si>
    <t>R3</t>
  </si>
  <si>
    <t>R4</t>
  </si>
  <si>
    <t>R5</t>
  </si>
  <si>
    <t>R6</t>
  </si>
  <si>
    <t>R7</t>
  </si>
  <si>
    <t>R8</t>
  </si>
  <si>
    <t>R9</t>
  </si>
  <si>
    <t>R10</t>
  </si>
  <si>
    <t>R11</t>
  </si>
  <si>
    <t>R13</t>
  </si>
  <si>
    <t>V1</t>
  </si>
  <si>
    <t>V2</t>
  </si>
  <si>
    <t>V3</t>
  </si>
  <si>
    <t>V4</t>
  </si>
  <si>
    <t>V5</t>
  </si>
  <si>
    <t>V6</t>
  </si>
  <si>
    <t>V7</t>
  </si>
  <si>
    <t>V8</t>
  </si>
  <si>
    <t>V9</t>
  </si>
  <si>
    <t>V10</t>
  </si>
  <si>
    <t>V11</t>
  </si>
  <si>
    <t>V12</t>
  </si>
  <si>
    <t>V13</t>
  </si>
  <si>
    <t>V14</t>
  </si>
  <si>
    <t>Z1</t>
  </si>
  <si>
    <t>Z2</t>
  </si>
  <si>
    <t>Z3</t>
  </si>
  <si>
    <t>Z4</t>
  </si>
  <si>
    <t>Z5</t>
  </si>
  <si>
    <t>Z6</t>
  </si>
  <si>
    <t>Z7</t>
  </si>
  <si>
    <t>Z8</t>
  </si>
  <si>
    <t>Z9</t>
  </si>
  <si>
    <t>W1_L1_K1_O1</t>
  </si>
  <si>
    <t>W1_L1_K1_O1_S</t>
  </si>
  <si>
    <t>W1_L2_K1_O1</t>
  </si>
  <si>
    <t>W1_L2_K1_O1_S</t>
  </si>
  <si>
    <t>W1_L1_K2_O1</t>
  </si>
  <si>
    <t>W1_L2_K2_O1</t>
  </si>
  <si>
    <t>W1_L1_K1_O2</t>
  </si>
  <si>
    <t>W1_L1_K1_O2_S</t>
  </si>
  <si>
    <t>W1_L2_K1_O2</t>
  </si>
  <si>
    <t>W1_L2_K1_O2_S</t>
  </si>
  <si>
    <t>W1_L1_K2_O2</t>
  </si>
  <si>
    <t>W1_L2_K2_O2</t>
  </si>
  <si>
    <t>W2_L1_K1_O1</t>
  </si>
  <si>
    <t>W2_L1_K1_O1_S</t>
  </si>
  <si>
    <t>W2_L2_K1_O1</t>
  </si>
  <si>
    <t>W2_L2_K1_O1_S</t>
  </si>
  <si>
    <t>W2_L1_K2_O1</t>
  </si>
  <si>
    <t>W2_L1_K2_O1_S</t>
  </si>
  <si>
    <t>W2_L2_K2_O1</t>
  </si>
  <si>
    <t>W2_L2_K2_O1_S</t>
  </si>
  <si>
    <t>W2_L1_K1_O2</t>
  </si>
  <si>
    <t>W2_L1_K1_O2_S</t>
  </si>
  <si>
    <t>W2_L2_K1_O2</t>
  </si>
  <si>
    <t>W2_L2_K1_O2_S</t>
  </si>
  <si>
    <t>W2_L1_K2_O2</t>
  </si>
  <si>
    <t>W2_L1_K2_O2_S</t>
  </si>
  <si>
    <t>W2_L2_K2_O2</t>
  </si>
  <si>
    <t>W2_L2_K2_O2_S</t>
  </si>
  <si>
    <t>W3_L1_K1_O1</t>
  </si>
  <si>
    <t>W3_L1_K1_O1_S</t>
  </si>
  <si>
    <t>W3_L2_K1_O1</t>
  </si>
  <si>
    <t>W3_L2_K1_O1_S</t>
  </si>
  <si>
    <t>W3_L1_K2_O1</t>
  </si>
  <si>
    <t>W3_L1_K2_O1_S</t>
  </si>
  <si>
    <t>W3_L2_K2_O1</t>
  </si>
  <si>
    <t>W3_L2_K2_O1_S</t>
  </si>
  <si>
    <t>W3_L1_K1_O2</t>
  </si>
  <si>
    <t>W3_L1_K1_O2_S</t>
  </si>
  <si>
    <t>W3_L2_K1_O2</t>
  </si>
  <si>
    <t>W3_L2_K1_O2_S</t>
  </si>
  <si>
    <t>W3_L1_K2_O2</t>
  </si>
  <si>
    <t>W3_L1_K2_O2_S</t>
  </si>
  <si>
    <t>W3_L2_K2_O2</t>
  </si>
  <si>
    <t>W3_L2_K2_O2_S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</si>
</sst>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sz val="24.0"/>
      <color theme="0"/>
      <name val="Aptos Black"/>
    </font>
    <font/>
    <font>
      <sz val="11.0"/>
      <color theme="1"/>
      <name val="Aptos Narrow"/>
    </font>
    <font>
      <sz val="11.0"/>
      <color theme="1"/>
      <name val="Arial"/>
    </font>
    <font>
      <b/>
      <sz val="11.0"/>
      <color theme="1"/>
      <name val="Arial"/>
    </font>
    <font>
      <sz val="10.0"/>
      <color theme="1"/>
      <name val="Arial"/>
    </font>
    <font>
      <sz val="10.0"/>
      <color rgb="FF000000"/>
      <name val="Arial"/>
    </font>
    <font>
      <b/>
      <sz val="24.0"/>
      <color rgb="FFFFFFFF"/>
      <name val="Arial"/>
    </font>
    <font>
      <b/>
      <sz val="20.0"/>
      <color theme="1"/>
      <name val="Aptos Narrow"/>
    </font>
    <font>
      <b/>
      <sz val="24.0"/>
      <color theme="0"/>
      <name val="Aptos Black"/>
    </font>
    <font>
      <b/>
      <sz val="24.0"/>
      <color rgb="FFCE3639"/>
      <name val="Arial"/>
    </font>
  </fonts>
  <fills count="7">
    <fill>
      <patternFill patternType="none"/>
    </fill>
    <fill>
      <patternFill patternType="lightGray"/>
    </fill>
    <fill>
      <patternFill patternType="solid">
        <fgColor rgb="FFCE3639"/>
        <bgColor rgb="FFCE3639"/>
      </patternFill>
    </fill>
    <fill>
      <patternFill patternType="solid">
        <fgColor rgb="FFF8F1F1"/>
        <bgColor rgb="FFF8F1F1"/>
      </patternFill>
    </fill>
    <fill>
      <patternFill patternType="solid">
        <fgColor rgb="FFF6D6D7"/>
        <bgColor rgb="FFF6D6D7"/>
      </patternFill>
    </fill>
    <fill>
      <patternFill patternType="solid">
        <fgColor theme="0"/>
        <bgColor theme="0"/>
      </patternFill>
    </fill>
    <fill>
      <patternFill patternType="solid">
        <fgColor rgb="FFFFFFFF"/>
        <bgColor rgb="FFFFFFFF"/>
      </patternFill>
    </fill>
  </fills>
  <borders count="34">
    <border/>
    <border>
      <left/>
      <top/>
    </border>
    <border>
      <top/>
    </border>
    <border>
      <right/>
      <top/>
    </border>
    <border>
      <left/>
      <top/>
      <bottom/>
    </border>
    <border>
      <top/>
      <bottom/>
    </border>
    <border>
      <right/>
      <top/>
      <bottom/>
    </border>
    <border>
      <left/>
      <right/>
      <top/>
    </border>
    <border>
      <left/>
      <bottom/>
    </border>
    <border>
      <bottom/>
    </border>
    <border>
      <right/>
      <bottom/>
    </border>
    <border>
      <left/>
      <right/>
    </border>
    <border>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bottom/>
    </border>
    <border>
      <left style="thin">
        <color rgb="FF000000"/>
      </left>
      <top style="thin">
        <color rgb="FF000000"/>
      </top>
    </border>
    <border>
      <top style="thin">
        <color rgb="FF000000"/>
      </top>
    </border>
    <border>
      <left style="thin">
        <color rgb="FF000000"/>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top style="thin">
        <color rgb="FF000000"/>
      </top>
      <bottom/>
    </border>
    <border>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0" fillId="0" fontId="3" numFmtId="0" xfId="0" applyAlignment="1" applyFont="1">
      <alignment vertical="center"/>
    </xf>
    <xf borderId="4" fillId="3" fontId="3" numFmtId="0" xfId="0" applyAlignment="1" applyBorder="1" applyFill="1" applyFont="1">
      <alignment vertical="center"/>
    </xf>
    <xf borderId="5" fillId="0" fontId="2" numFmtId="0" xfId="0" applyBorder="1" applyFont="1"/>
    <xf borderId="6" fillId="0" fontId="2" numFmtId="0" xfId="0" applyBorder="1" applyFont="1"/>
    <xf borderId="7" fillId="2" fontId="3" numFmtId="0" xfId="0" applyAlignment="1" applyBorder="1" applyFont="1">
      <alignment horizontal="center"/>
    </xf>
    <xf borderId="8" fillId="0" fontId="2" numFmtId="0" xfId="0" applyBorder="1" applyFont="1"/>
    <xf borderId="9" fillId="0" fontId="2" numFmtId="0" xfId="0" applyBorder="1" applyFont="1"/>
    <xf borderId="10" fillId="0" fontId="2" numFmtId="0" xfId="0" applyBorder="1" applyFont="1"/>
    <xf borderId="4" fillId="3" fontId="4" numFmtId="49" xfId="0" applyAlignment="1" applyBorder="1" applyFont="1" applyNumberFormat="1">
      <alignment vertical="center"/>
    </xf>
    <xf borderId="11" fillId="0" fontId="2" numFmtId="0" xfId="0" applyBorder="1" applyFont="1"/>
    <xf borderId="1" fillId="2" fontId="1" numFmtId="0" xfId="0" applyAlignment="1" applyBorder="1" applyFont="1">
      <alignment horizontal="center" shrinkToFit="0" vertical="top" wrapText="1"/>
    </xf>
    <xf borderId="12" fillId="0" fontId="5" numFmtId="0" xfId="0" applyAlignment="1" applyBorder="1" applyFont="1">
      <alignment horizontal="left" vertical="center"/>
    </xf>
    <xf borderId="12" fillId="0" fontId="2" numFmtId="0" xfId="0" applyBorder="1" applyFont="1"/>
    <xf borderId="12" fillId="0" fontId="5" numFmtId="0" xfId="0" applyAlignment="1" applyBorder="1" applyFont="1">
      <alignment vertical="center"/>
    </xf>
    <xf borderId="13" fillId="3" fontId="5" numFmtId="0" xfId="0" applyAlignment="1" applyBorder="1" applyFont="1">
      <alignment vertical="center"/>
    </xf>
    <xf borderId="14" fillId="0" fontId="2" numFmtId="0" xfId="0" applyBorder="1" applyFont="1"/>
    <xf borderId="15" fillId="0" fontId="2" numFmtId="0" xfId="0" applyBorder="1" applyFont="1"/>
    <xf borderId="16" fillId="3" fontId="4" numFmtId="0" xfId="0" applyAlignment="1" applyBorder="1" applyFont="1">
      <alignment horizontal="center" vertical="center"/>
    </xf>
    <xf borderId="16" fillId="4" fontId="4" numFmtId="0" xfId="0" applyAlignment="1" applyBorder="1" applyFill="1" applyFont="1">
      <alignment horizontal="center" vertical="center"/>
    </xf>
    <xf borderId="16" fillId="3" fontId="4" numFmtId="0" xfId="0" applyAlignment="1" applyBorder="1" applyFont="1">
      <alignment horizontal="center" readingOrder="0" vertical="center"/>
    </xf>
    <xf borderId="17" fillId="4" fontId="4" numFmtId="0" xfId="0" applyAlignment="1" applyBorder="1" applyFont="1">
      <alignment horizontal="center" vertical="center"/>
    </xf>
    <xf borderId="16" fillId="0" fontId="4" numFmtId="0" xfId="0" applyAlignment="1" applyBorder="1" applyFont="1">
      <alignment horizontal="center" vertical="center"/>
    </xf>
    <xf borderId="16" fillId="3" fontId="4" numFmtId="0" xfId="0" applyAlignment="1" applyBorder="1" applyFont="1">
      <alignment horizontal="center"/>
    </xf>
    <xf borderId="16" fillId="5" fontId="4" numFmtId="0" xfId="0" applyAlignment="1" applyBorder="1" applyFill="1" applyFont="1">
      <alignment horizontal="center"/>
    </xf>
    <xf borderId="17" fillId="3" fontId="4" numFmtId="0" xfId="0" applyAlignment="1" applyBorder="1" applyFont="1">
      <alignment horizontal="center"/>
    </xf>
    <xf borderId="16" fillId="5" fontId="4" numFmtId="0" xfId="0" applyAlignment="1" applyBorder="1" applyFont="1">
      <alignment horizontal="center" vertical="center"/>
    </xf>
    <xf borderId="16" fillId="4" fontId="4" numFmtId="0" xfId="0" applyAlignment="1" applyBorder="1" applyFont="1">
      <alignment horizontal="center"/>
    </xf>
    <xf borderId="17" fillId="4" fontId="4" numFmtId="0" xfId="0" applyAlignment="1" applyBorder="1" applyFont="1">
      <alignment horizontal="center"/>
    </xf>
    <xf borderId="16" fillId="0" fontId="4" numFmtId="0" xfId="0" applyAlignment="1" applyBorder="1" applyFont="1">
      <alignment horizontal="center"/>
    </xf>
    <xf borderId="18" fillId="5" fontId="4" numFmtId="0" xfId="0" applyAlignment="1" applyBorder="1" applyFont="1">
      <alignment horizontal="center" vertical="center"/>
    </xf>
    <xf borderId="18" fillId="5" fontId="4" numFmtId="0" xfId="0" applyAlignment="1" applyBorder="1" applyFont="1">
      <alignment horizontal="center"/>
    </xf>
    <xf borderId="19" fillId="3" fontId="5" numFmtId="0" xfId="0" applyAlignment="1" applyBorder="1" applyFont="1">
      <alignment horizontal="left" vertical="center"/>
    </xf>
    <xf borderId="20" fillId="0" fontId="2" numFmtId="0" xfId="0" applyBorder="1" applyFont="1"/>
    <xf borderId="21" fillId="0" fontId="2" numFmtId="0" xfId="0" applyBorder="1" applyFont="1"/>
    <xf borderId="22" fillId="4" fontId="4" numFmtId="0" xfId="0" applyAlignment="1" applyBorder="1" applyFont="1">
      <alignment horizontal="center" vertical="center"/>
    </xf>
    <xf borderId="22" fillId="3" fontId="4" numFmtId="0" xfId="0" applyAlignment="1" applyBorder="1" applyFont="1">
      <alignment horizontal="center" vertical="center"/>
    </xf>
    <xf borderId="19" fillId="0" fontId="4" numFmtId="0" xfId="0" applyAlignment="1" applyBorder="1" applyFont="1">
      <alignment horizontal="left" vertical="center"/>
    </xf>
    <xf borderId="17" fillId="3" fontId="4" numFmtId="0" xfId="0" applyAlignment="1" applyBorder="1" applyFont="1">
      <alignment horizontal="center" vertical="center"/>
    </xf>
    <xf borderId="22" fillId="5" fontId="4" numFmtId="0" xfId="0" applyAlignment="1" applyBorder="1" applyFont="1">
      <alignment horizontal="center" vertical="center"/>
    </xf>
    <xf borderId="19" fillId="3" fontId="6" numFmtId="0" xfId="0" applyAlignment="1" applyBorder="1" applyFont="1">
      <alignment horizontal="left" vertical="center"/>
    </xf>
    <xf borderId="19" fillId="0" fontId="6" numFmtId="0" xfId="0" applyAlignment="1" applyBorder="1" applyFont="1">
      <alignment horizontal="left" vertical="center"/>
    </xf>
    <xf borderId="0" fillId="0" fontId="4" numFmtId="0" xfId="0" applyFont="1"/>
    <xf borderId="19" fillId="0" fontId="6" numFmtId="0" xfId="0" applyAlignment="1" applyBorder="1" applyFont="1">
      <alignment horizontal="left" shrinkToFit="0" vertical="center" wrapText="1"/>
    </xf>
    <xf borderId="19" fillId="3" fontId="6" numFmtId="0" xfId="0" applyAlignment="1" applyBorder="1" applyFont="1">
      <alignment horizontal="left" shrinkToFit="0" vertical="center" wrapText="1"/>
    </xf>
    <xf borderId="19" fillId="4" fontId="4" numFmtId="0" xfId="0" applyAlignment="1" applyBorder="1" applyFont="1">
      <alignment horizontal="center" vertical="center"/>
    </xf>
    <xf borderId="19" fillId="5" fontId="6" numFmtId="0" xfId="0" applyAlignment="1" applyBorder="1" applyFont="1">
      <alignment horizontal="left" shrinkToFit="0" vertical="center" wrapText="1"/>
    </xf>
    <xf borderId="19" fillId="3" fontId="4" numFmtId="0" xfId="0" applyAlignment="1" applyBorder="1" applyFont="1">
      <alignment horizontal="center" vertical="center"/>
    </xf>
    <xf borderId="18" fillId="5" fontId="4" numFmtId="0" xfId="0" applyBorder="1" applyFont="1"/>
    <xf borderId="19" fillId="5" fontId="7" numFmtId="0" xfId="0" applyAlignment="1" applyBorder="1" applyFont="1">
      <alignment horizontal="left" shrinkToFit="0" vertical="center" wrapText="1"/>
    </xf>
    <xf borderId="18" fillId="5" fontId="3" numFmtId="0" xfId="0" applyBorder="1" applyFont="1"/>
    <xf borderId="23" fillId="4" fontId="4" numFmtId="0" xfId="0" applyAlignment="1" applyBorder="1" applyFont="1">
      <alignment horizontal="center" vertical="center"/>
    </xf>
    <xf borderId="23" fillId="3" fontId="4" numFmtId="0" xfId="0" applyAlignment="1" applyBorder="1" applyFont="1">
      <alignment horizontal="center" vertical="center"/>
    </xf>
    <xf borderId="19" fillId="5" fontId="6" numFmtId="0" xfId="0" applyAlignment="1" applyBorder="1" applyFont="1">
      <alignment horizontal="left" vertical="center"/>
    </xf>
    <xf borderId="19" fillId="0" fontId="3" numFmtId="0" xfId="0" applyAlignment="1" applyBorder="1" applyFont="1">
      <alignment horizontal="center" vertical="center"/>
    </xf>
    <xf borderId="16" fillId="5" fontId="3" numFmtId="0" xfId="0" applyAlignment="1" applyBorder="1" applyFont="1">
      <alignment vertical="center"/>
    </xf>
    <xf borderId="16" fillId="0" fontId="3" numFmtId="0" xfId="0" applyAlignment="1" applyBorder="1" applyFont="1">
      <alignment vertical="center"/>
    </xf>
    <xf borderId="24" fillId="0" fontId="2" numFmtId="0" xfId="0" applyBorder="1" applyFont="1"/>
    <xf borderId="16" fillId="4" fontId="4" numFmtId="0" xfId="0" applyAlignment="1" applyBorder="1" applyFont="1">
      <alignment horizontal="center" readingOrder="0" vertical="center"/>
    </xf>
    <xf borderId="25" fillId="0" fontId="7" numFmtId="0" xfId="0" applyAlignment="1" applyBorder="1" applyFont="1">
      <alignment horizontal="left" shrinkToFit="0" vertical="center" wrapText="1"/>
    </xf>
    <xf borderId="26" fillId="0" fontId="2" numFmtId="0" xfId="0" applyBorder="1" applyFont="1"/>
    <xf borderId="27" fillId="3" fontId="6" numFmtId="0" xfId="0" applyAlignment="1" applyBorder="1" applyFont="1">
      <alignment horizontal="center" shrinkToFit="0" vertical="center" wrapText="1"/>
    </xf>
    <xf borderId="23" fillId="5" fontId="6" numFmtId="0" xfId="0" applyAlignment="1" applyBorder="1" applyFont="1">
      <alignment horizontal="center" shrinkToFit="0" vertical="center" wrapText="1"/>
    </xf>
    <xf borderId="28" fillId="3" fontId="6" numFmtId="0" xfId="0" applyAlignment="1" applyBorder="1" applyFont="1">
      <alignment horizontal="left" shrinkToFit="0" vertical="center" wrapText="1"/>
    </xf>
    <xf borderId="29" fillId="0" fontId="2" numFmtId="0" xfId="0" applyBorder="1" applyFont="1"/>
    <xf borderId="30" fillId="0" fontId="2" numFmtId="0" xfId="0" applyBorder="1" applyFont="1"/>
    <xf borderId="31" fillId="4" fontId="6" numFmtId="0" xfId="0" applyAlignment="1" applyBorder="1" applyFont="1">
      <alignment horizontal="center" shrinkToFit="0" vertical="center" wrapText="1"/>
    </xf>
    <xf borderId="23" fillId="3" fontId="6" numFmtId="0" xfId="0" applyAlignment="1" applyBorder="1" applyFont="1">
      <alignment horizontal="center" shrinkToFit="0" vertical="center" wrapText="1"/>
    </xf>
    <xf borderId="25" fillId="0" fontId="6" numFmtId="0" xfId="0" applyAlignment="1" applyBorder="1" applyFont="1">
      <alignment horizontal="left" shrinkToFit="0" vertical="center" wrapText="1"/>
    </xf>
    <xf borderId="0" fillId="0" fontId="3" numFmtId="0" xfId="0" applyAlignment="1" applyFont="1">
      <alignment horizontal="left" vertical="center"/>
    </xf>
    <xf borderId="18" fillId="5" fontId="3" numFmtId="0" xfId="0" applyAlignment="1" applyBorder="1" applyFont="1">
      <alignment vertical="center"/>
    </xf>
    <xf borderId="0" fillId="0" fontId="3" numFmtId="0" xfId="0" applyAlignment="1" applyFont="1">
      <alignment horizontal="center" vertical="center"/>
    </xf>
    <xf borderId="22" fillId="3" fontId="6" numFmtId="0" xfId="0" applyAlignment="1" applyBorder="1" applyFont="1">
      <alignment horizontal="center" vertical="center"/>
    </xf>
    <xf borderId="16" fillId="5" fontId="6" numFmtId="0" xfId="0" applyAlignment="1" applyBorder="1" applyFont="1">
      <alignment horizontal="center" readingOrder="0" vertical="center"/>
    </xf>
    <xf borderId="32" fillId="0" fontId="2" numFmtId="0" xfId="0" applyBorder="1" applyFont="1"/>
    <xf borderId="22" fillId="4" fontId="6" numFmtId="0" xfId="0" applyAlignment="1" applyBorder="1" applyFont="1">
      <alignment horizontal="center" vertical="center"/>
    </xf>
    <xf borderId="16" fillId="3" fontId="6" numFmtId="0" xfId="0" applyAlignment="1" applyBorder="1" applyFont="1">
      <alignment horizontal="center" readingOrder="0" vertical="center"/>
    </xf>
    <xf borderId="23" fillId="3" fontId="6" numFmtId="0" xfId="0" applyAlignment="1" applyBorder="1" applyFont="1">
      <alignment horizontal="center" readingOrder="0" shrinkToFit="0" vertical="center" wrapText="1"/>
    </xf>
    <xf borderId="33" fillId="4" fontId="6" numFmtId="0" xfId="0" applyAlignment="1" applyBorder="1" applyFont="1">
      <alignment horizontal="center" shrinkToFit="0" vertical="center" wrapText="1"/>
    </xf>
    <xf borderId="16" fillId="3" fontId="6" numFmtId="0" xfId="0" applyAlignment="1" applyBorder="1" applyFont="1">
      <alignment horizontal="center" readingOrder="0" shrinkToFit="0" vertical="center" wrapText="1"/>
    </xf>
    <xf borderId="19" fillId="2" fontId="8" numFmtId="0" xfId="0" applyAlignment="1" applyBorder="1" applyFont="1">
      <alignment horizontal="left" vertical="center"/>
    </xf>
    <xf borderId="16" fillId="3" fontId="9" numFmtId="0" xfId="0" applyAlignment="1" applyBorder="1" applyFont="1">
      <alignment horizontal="center" vertical="center"/>
    </xf>
    <xf borderId="19" fillId="2" fontId="10" numFmtId="0" xfId="0" applyAlignment="1" applyBorder="1" applyFont="1">
      <alignment horizontal="left" vertical="center"/>
    </xf>
    <xf borderId="16" fillId="4" fontId="9" numFmtId="0" xfId="0" applyAlignment="1" applyBorder="1" applyFont="1">
      <alignment horizontal="center" vertical="center"/>
    </xf>
    <xf borderId="19" fillId="6" fontId="11" numFmtId="0" xfId="0" applyAlignment="1" applyBorder="1" applyFill="1" applyFont="1">
      <alignment horizontal="left" shrinkToFit="0" vertical="center" wrapText="1"/>
    </xf>
    <xf borderId="18" fillId="2" fontId="3" numFmtId="0" xfId="0" applyBorder="1" applyFont="1"/>
    <xf borderId="19" fillId="0" fontId="4" numFmtId="0" xfId="0" applyAlignment="1" applyBorder="1" applyFont="1">
      <alignment shrinkToFit="0" vertical="center" wrapText="1"/>
    </xf>
    <xf borderId="19" fillId="0" fontId="3" numFmtId="0" xfId="0" applyAlignment="1" applyBorder="1" applyFont="1">
      <alignment shrinkToFit="0" vertical="center" wrapText="1"/>
    </xf>
    <xf borderId="0" fillId="0" fontId="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7.63"/>
    <col customWidth="1" min="3" max="3" width="16.25"/>
    <col customWidth="1" min="4" max="4" width="5.88"/>
    <col customWidth="1" min="5" max="5" width="10.88"/>
    <col customWidth="1" min="6" max="6" width="11.63"/>
    <col customWidth="1" min="7" max="7" width="5.0"/>
    <col customWidth="1" min="8" max="8" width="14.13"/>
    <col customWidth="1" min="9" max="9" width="1.63"/>
  </cols>
  <sheetData>
    <row r="1" ht="16.5" customHeight="1">
      <c r="A1" s="1" t="s">
        <v>0</v>
      </c>
      <c r="B1" s="2"/>
      <c r="C1" s="2"/>
      <c r="D1" s="3"/>
      <c r="E1" s="4" t="s">
        <v>1</v>
      </c>
      <c r="F1" s="5"/>
      <c r="G1" s="6"/>
      <c r="H1" s="7"/>
      <c r="I1" s="8"/>
    </row>
    <row r="2" ht="16.5" customHeight="1">
      <c r="A2" s="9"/>
      <c r="B2" s="10"/>
      <c r="C2" s="10"/>
      <c r="D2" s="11"/>
      <c r="E2" s="4" t="s">
        <v>2</v>
      </c>
      <c r="F2" s="12"/>
      <c r="G2" s="6"/>
      <c r="H2" s="7"/>
      <c r="I2" s="13"/>
    </row>
    <row r="3" ht="16.5" customHeight="1">
      <c r="A3" s="14" t="s">
        <v>3</v>
      </c>
      <c r="B3" s="2"/>
      <c r="C3" s="2"/>
      <c r="D3" s="3"/>
      <c r="E3" s="4" t="s">
        <v>4</v>
      </c>
      <c r="F3" s="5"/>
      <c r="G3" s="6"/>
      <c r="H3" s="7"/>
      <c r="I3" s="13"/>
    </row>
    <row r="4" ht="16.5" customHeight="1">
      <c r="A4" s="9"/>
      <c r="B4" s="10"/>
      <c r="C4" s="10"/>
      <c r="D4" s="11"/>
      <c r="E4" s="4" t="s">
        <v>5</v>
      </c>
      <c r="F4" s="5"/>
      <c r="G4" s="6"/>
      <c r="H4" s="7"/>
      <c r="I4" s="13"/>
    </row>
    <row r="5" ht="19.5" customHeight="1">
      <c r="A5" s="15" t="s">
        <v>6</v>
      </c>
      <c r="B5" s="16"/>
      <c r="C5" s="16"/>
      <c r="D5" s="16"/>
      <c r="E5" s="17" t="s">
        <v>7</v>
      </c>
      <c r="F5" s="18"/>
      <c r="G5" s="19"/>
      <c r="H5" s="20"/>
      <c r="I5" s="13"/>
    </row>
    <row r="6" ht="18.0" customHeight="1">
      <c r="A6" s="21" t="s">
        <v>8</v>
      </c>
      <c r="B6" s="22" t="s">
        <v>9</v>
      </c>
      <c r="C6" s="21" t="s">
        <v>10</v>
      </c>
      <c r="D6" s="22" t="s">
        <v>11</v>
      </c>
      <c r="E6" s="23" t="s">
        <v>12</v>
      </c>
      <c r="F6" s="24" t="s">
        <v>13</v>
      </c>
      <c r="G6" s="21" t="s">
        <v>14</v>
      </c>
      <c r="H6" s="22" t="s">
        <v>15</v>
      </c>
      <c r="I6" s="13"/>
    </row>
    <row r="7" ht="18.0" customHeight="1">
      <c r="A7" s="25"/>
      <c r="B7" s="21"/>
      <c r="C7" s="25"/>
      <c r="D7" s="26"/>
      <c r="E7" s="27">
        <f>IFERROR(VLOOKUP(B7, cena_dvere!A:B, 2, FALSE), 0)+IF(A7&lt;=69, 0,IF(A7&lt;=79, 3,IF(A7&lt;=89, 6, 9)))</f>
        <v>0</v>
      </c>
      <c r="F7" s="28" t="s">
        <v>16</v>
      </c>
      <c r="G7" s="29"/>
      <c r="H7" s="21">
        <f>IF(ISBLANK(B7),0, G7*E7+IF(F7="Áno", IF(B7="v1", door_frame_sale, door_frame), 0))</f>
        <v>0</v>
      </c>
      <c r="I7" s="13"/>
    </row>
    <row r="8" ht="18.0" customHeight="1">
      <c r="A8" s="21"/>
      <c r="B8" s="22"/>
      <c r="C8" s="21"/>
      <c r="D8" s="30"/>
      <c r="E8" s="26">
        <f>IFERROR(VLOOKUP(B8, cena_dvere!A:B, 2, FALSE), 0)+IF(A8&lt;=69, 0,IF(A8&lt;=79, 3,IF(A8&lt;=89, 6, 9)))</f>
        <v>0</v>
      </c>
      <c r="F8" s="31" t="s">
        <v>16</v>
      </c>
      <c r="G8" s="21"/>
      <c r="H8" s="22">
        <f>IF(ISBLANK(B8),0, G8*E8+IF(F8="Áno", IF(B8="v1", door_frame_sale, door_frame), 0))</f>
        <v>0</v>
      </c>
      <c r="I8" s="13"/>
    </row>
    <row r="9" ht="18.0" customHeight="1">
      <c r="A9" s="25"/>
      <c r="B9" s="21"/>
      <c r="C9" s="25"/>
      <c r="D9" s="26"/>
      <c r="E9" s="32">
        <f>IFERROR(VLOOKUP(B9, cena_dvere!A:B, 2, FALSE), 0)+IF(A9&lt;=69, 0,IF(A9&lt;=79, 3,IF(A9&lt;=89, 6, 9)))</f>
        <v>0</v>
      </c>
      <c r="F9" s="28" t="s">
        <v>16</v>
      </c>
      <c r="G9" s="29"/>
      <c r="H9" s="21">
        <f>IF(ISBLANK(B9),0, G9*E9+IF(F9="Áno", IF(B9="v1", door_frame_sale, door_frame), 0))</f>
        <v>0</v>
      </c>
      <c r="I9" s="13"/>
    </row>
    <row r="10" ht="18.0" customHeight="1">
      <c r="A10" s="21"/>
      <c r="B10" s="22"/>
      <c r="C10" s="21"/>
      <c r="D10" s="30"/>
      <c r="E10" s="26">
        <f>IFERROR(VLOOKUP(B10, cena_dvere!A:B, 2, FALSE), 0)+IF(A10&lt;=69, 0,IF(A10&lt;=79, 3,IF(A10&lt;=89, 6, 9)))</f>
        <v>0</v>
      </c>
      <c r="F10" s="31" t="s">
        <v>16</v>
      </c>
      <c r="G10" s="21"/>
      <c r="H10" s="22">
        <f>IF(ISBLANK(B10),0, G10*E10+IF(F10="Áno", IF(B10="v1", door_frame_sale, door_frame), 0))</f>
        <v>0</v>
      </c>
      <c r="I10" s="13"/>
    </row>
    <row r="11" ht="18.0" customHeight="1">
      <c r="A11" s="25"/>
      <c r="B11" s="21"/>
      <c r="C11" s="25"/>
      <c r="D11" s="26"/>
      <c r="E11" s="32">
        <f>IFERROR(VLOOKUP(B11, cena_dvere!A:B, 2, FALSE), 0)+IF(A11&lt;=69, 0,IF(A11&lt;=79, 3,IF(A11&lt;=89, 6, 9)))</f>
        <v>0</v>
      </c>
      <c r="F11" s="28" t="s">
        <v>16</v>
      </c>
      <c r="G11" s="29"/>
      <c r="H11" s="21">
        <f>IF(ISBLANK(B11),0, G11*E11+IF(F11="Áno", IF(B11="v1", door_frame_sale, door_frame), 0))</f>
        <v>0</v>
      </c>
      <c r="I11" s="13"/>
    </row>
    <row r="12" ht="18.0" customHeight="1">
      <c r="A12" s="21"/>
      <c r="B12" s="22"/>
      <c r="C12" s="21"/>
      <c r="D12" s="30"/>
      <c r="E12" s="26">
        <f>IFERROR(VLOOKUP(B12, cena_dvere!A:B, 2, FALSE), 0)+IF(A12&lt;=69, 0,IF(A12&lt;=79, 3,IF(A12&lt;=89, 6, 9)))</f>
        <v>0</v>
      </c>
      <c r="F12" s="31" t="s">
        <v>16</v>
      </c>
      <c r="G12" s="21"/>
      <c r="H12" s="22">
        <f>IF(ISBLANK(B12),0, G12*E12+IF(F12="Áno", IF(B12="v1", door_frame_sale, door_frame), 0))</f>
        <v>0</v>
      </c>
      <c r="I12" s="13"/>
    </row>
    <row r="13" ht="18.0" customHeight="1">
      <c r="A13" s="25"/>
      <c r="B13" s="21"/>
      <c r="C13" s="25"/>
      <c r="D13" s="26"/>
      <c r="E13" s="32">
        <f>IFERROR(VLOOKUP(B13, cena_dvere!A:B, 2, FALSE), 0)+IF(A13&lt;=69, 0,IF(A13&lt;=79, 3,IF(A13&lt;=89, 6, 9)))</f>
        <v>0</v>
      </c>
      <c r="F13" s="28" t="s">
        <v>16</v>
      </c>
      <c r="G13" s="29"/>
      <c r="H13" s="21">
        <f>IF(ISBLANK(B13),0, G13*E13+IF(F13="Áno", IF(B13="v1", door_frame_sale, door_frame), 0))</f>
        <v>0</v>
      </c>
      <c r="I13" s="13"/>
    </row>
    <row r="14" ht="18.0" customHeight="1">
      <c r="A14" s="21"/>
      <c r="B14" s="22"/>
      <c r="C14" s="21"/>
      <c r="D14" s="30"/>
      <c r="E14" s="26">
        <f>IFERROR(VLOOKUP(B14, cena_dvere!A:B, 2, FALSE), 0)+IF(A14&lt;=69, 0,IF(A14&lt;=79, 3,IF(A14&lt;=89, 6, 9)))</f>
        <v>0</v>
      </c>
      <c r="F14" s="31" t="s">
        <v>16</v>
      </c>
      <c r="G14" s="21"/>
      <c r="H14" s="22">
        <f>IF(ISBLANK(B14),0, G14*E14+IF(F14="Áno", IF(B14="v1", door_frame_sale, door_frame), 0))</f>
        <v>0</v>
      </c>
      <c r="I14" s="13"/>
    </row>
    <row r="15" ht="18.0" customHeight="1">
      <c r="A15" s="25"/>
      <c r="B15" s="21"/>
      <c r="C15" s="25"/>
      <c r="D15" s="26"/>
      <c r="E15" s="32">
        <f>IFERROR(VLOOKUP(B15, cena_dvere!A:B, 2, FALSE), 0)+IF(A15&lt;=69, 0,IF(A15&lt;=79, 3,IF(A15&lt;=89, 6, 9)))</f>
        <v>0</v>
      </c>
      <c r="F15" s="28" t="s">
        <v>16</v>
      </c>
      <c r="G15" s="29"/>
      <c r="H15" s="21">
        <f>IF(ISBLANK(B15),0, G15*E15+IF(F15="Áno", IF(B15="v1", door_frame_sale, door_frame), 0))</f>
        <v>0</v>
      </c>
      <c r="I15" s="13"/>
    </row>
    <row r="16" ht="18.0" customHeight="1">
      <c r="A16" s="33"/>
      <c r="B16" s="33"/>
      <c r="C16" s="33"/>
      <c r="D16" s="34"/>
      <c r="E16" s="34"/>
      <c r="F16" s="34"/>
      <c r="G16" s="33"/>
      <c r="H16" s="33"/>
      <c r="I16" s="13"/>
    </row>
    <row r="17" ht="18.0" customHeight="1">
      <c r="A17" s="35" t="s">
        <v>17</v>
      </c>
      <c r="B17" s="36"/>
      <c r="C17" s="36"/>
      <c r="D17" s="36"/>
      <c r="E17" s="37"/>
      <c r="F17" s="38" t="s">
        <v>12</v>
      </c>
      <c r="G17" s="39" t="s">
        <v>14</v>
      </c>
      <c r="H17" s="22" t="s">
        <v>15</v>
      </c>
      <c r="I17" s="13"/>
    </row>
    <row r="18" ht="18.0" customHeight="1">
      <c r="A18" s="40"/>
      <c r="B18" s="36"/>
      <c r="C18" s="36"/>
      <c r="D18" s="36"/>
      <c r="E18" s="37"/>
      <c r="F18" s="41"/>
      <c r="G18" s="42"/>
      <c r="H18" s="21">
        <f t="shared" ref="H18:H23" si="1">G18*F18</f>
        <v>0</v>
      </c>
      <c r="I18" s="13"/>
    </row>
    <row r="19" ht="18.0" customHeight="1">
      <c r="A19" s="43" t="s">
        <v>18</v>
      </c>
      <c r="B19" s="36"/>
      <c r="C19" s="36"/>
      <c r="D19" s="36"/>
      <c r="E19" s="37"/>
      <c r="F19" s="24">
        <v>0.0</v>
      </c>
      <c r="G19" s="39"/>
      <c r="H19" s="22">
        <f t="shared" si="1"/>
        <v>0</v>
      </c>
      <c r="I19" s="13"/>
    </row>
    <row r="20" ht="18.0" customHeight="1">
      <c r="A20" s="44" t="s">
        <v>19</v>
      </c>
      <c r="B20" s="36"/>
      <c r="C20" s="36"/>
      <c r="D20" s="36"/>
      <c r="E20" s="37"/>
      <c r="F20" s="41">
        <v>11.0</v>
      </c>
      <c r="G20" s="42"/>
      <c r="H20" s="21">
        <f t="shared" si="1"/>
        <v>0</v>
      </c>
      <c r="I20" s="13"/>
    </row>
    <row r="21" ht="18.0" customHeight="1">
      <c r="A21" s="43" t="s">
        <v>20</v>
      </c>
      <c r="B21" s="36"/>
      <c r="C21" s="36"/>
      <c r="D21" s="36"/>
      <c r="E21" s="37"/>
      <c r="F21" s="24">
        <v>0.0</v>
      </c>
      <c r="G21" s="39"/>
      <c r="H21" s="22">
        <f t="shared" si="1"/>
        <v>0</v>
      </c>
      <c r="I21" s="13"/>
    </row>
    <row r="22" ht="18.0" customHeight="1">
      <c r="A22" s="44"/>
      <c r="B22" s="36"/>
      <c r="C22" s="36"/>
      <c r="D22" s="36"/>
      <c r="E22" s="37"/>
      <c r="F22" s="41"/>
      <c r="G22" s="42"/>
      <c r="H22" s="21">
        <f t="shared" si="1"/>
        <v>0</v>
      </c>
      <c r="I22" s="13"/>
    </row>
    <row r="23" ht="18.0" customHeight="1">
      <c r="A23" s="43" t="s">
        <v>21</v>
      </c>
      <c r="B23" s="36"/>
      <c r="C23" s="36"/>
      <c r="D23" s="36"/>
      <c r="E23" s="37"/>
      <c r="F23" s="24">
        <v>5.0</v>
      </c>
      <c r="G23" s="39"/>
      <c r="H23" s="22">
        <f t="shared" si="1"/>
        <v>0</v>
      </c>
      <c r="I23" s="13"/>
    </row>
    <row r="24" ht="18.75" customHeight="1">
      <c r="A24" s="45"/>
      <c r="B24" s="45"/>
      <c r="C24" s="45"/>
      <c r="D24" s="45"/>
      <c r="E24" s="45"/>
      <c r="F24" s="34"/>
      <c r="G24" s="34"/>
      <c r="H24" s="45"/>
      <c r="I24" s="13"/>
    </row>
    <row r="25" ht="18.0" customHeight="1">
      <c r="A25" s="35" t="s">
        <v>22</v>
      </c>
      <c r="B25" s="36"/>
      <c r="C25" s="36"/>
      <c r="D25" s="36"/>
      <c r="E25" s="37"/>
      <c r="F25" s="22" t="s">
        <v>23</v>
      </c>
      <c r="G25" s="21" t="s">
        <v>14</v>
      </c>
      <c r="H25" s="22" t="s">
        <v>15</v>
      </c>
      <c r="I25" s="13"/>
    </row>
    <row r="26" ht="24.0" customHeight="1">
      <c r="A26" s="46" t="s">
        <v>24</v>
      </c>
      <c r="B26" s="36"/>
      <c r="C26" s="36"/>
      <c r="D26" s="36"/>
      <c r="E26" s="37"/>
      <c r="F26" s="21"/>
      <c r="G26" s="29"/>
      <c r="H26" s="21" t="str">
        <f>G26</f>
        <v/>
      </c>
      <c r="I26" s="13"/>
    </row>
    <row r="27" ht="18.75" customHeight="1">
      <c r="A27" s="47" t="s">
        <v>25</v>
      </c>
      <c r="B27" s="36"/>
      <c r="C27" s="36"/>
      <c r="D27" s="36"/>
      <c r="E27" s="37"/>
      <c r="F27" s="48"/>
      <c r="G27" s="36"/>
      <c r="H27" s="37"/>
      <c r="I27" s="13"/>
    </row>
    <row r="28" ht="18.75" customHeight="1">
      <c r="A28" s="49" t="s">
        <v>26</v>
      </c>
      <c r="B28" s="36"/>
      <c r="C28" s="36"/>
      <c r="D28" s="36"/>
      <c r="E28" s="37"/>
      <c r="F28" s="50"/>
      <c r="G28" s="36"/>
      <c r="H28" s="37"/>
      <c r="I28" s="13"/>
    </row>
    <row r="29" ht="18.75" customHeight="1">
      <c r="A29" s="47" t="s">
        <v>27</v>
      </c>
      <c r="B29" s="36"/>
      <c r="C29" s="36"/>
      <c r="D29" s="36"/>
      <c r="E29" s="37"/>
      <c r="F29" s="48"/>
      <c r="G29" s="36"/>
      <c r="H29" s="37"/>
      <c r="I29" s="13"/>
    </row>
    <row r="30" ht="18.75" customHeight="1">
      <c r="A30" s="49" t="s">
        <v>28</v>
      </c>
      <c r="B30" s="36"/>
      <c r="C30" s="36"/>
      <c r="D30" s="36"/>
      <c r="E30" s="37"/>
      <c r="F30" s="50"/>
      <c r="G30" s="36"/>
      <c r="H30" s="37"/>
      <c r="I30" s="13"/>
    </row>
    <row r="31" ht="18.75" customHeight="1">
      <c r="A31" s="45"/>
      <c r="B31" s="45"/>
      <c r="C31" s="45"/>
      <c r="D31" s="45"/>
      <c r="E31" s="51"/>
      <c r="F31" s="34"/>
      <c r="G31" s="34"/>
      <c r="H31" s="45"/>
      <c r="I31" s="13"/>
    </row>
    <row r="32">
      <c r="A32" s="35" t="s">
        <v>29</v>
      </c>
      <c r="B32" s="36"/>
      <c r="C32" s="36"/>
      <c r="D32" s="36"/>
      <c r="E32" s="37"/>
      <c r="F32" s="22"/>
      <c r="G32" s="21" t="s">
        <v>14</v>
      </c>
      <c r="H32" s="22" t="s">
        <v>15</v>
      </c>
      <c r="I32" s="13"/>
    </row>
    <row r="33">
      <c r="A33" s="52" t="s">
        <v>30</v>
      </c>
      <c r="B33" s="36"/>
      <c r="C33" s="36"/>
      <c r="D33" s="36"/>
      <c r="E33" s="37"/>
      <c r="F33" s="21"/>
      <c r="G33" s="29"/>
      <c r="H33" s="29">
        <f>IF(G33&gt;0,MAX(G33*assembly,assembly_min),0)</f>
        <v>0</v>
      </c>
      <c r="I33" s="13"/>
    </row>
    <row r="34" ht="18.75" customHeight="1">
      <c r="E34" s="53"/>
      <c r="F34" s="53"/>
      <c r="G34" s="53"/>
      <c r="I34" s="13"/>
    </row>
    <row r="35" ht="18.0" customHeight="1">
      <c r="A35" s="35" t="s">
        <v>31</v>
      </c>
      <c r="B35" s="36"/>
      <c r="C35" s="36"/>
      <c r="D35" s="36"/>
      <c r="E35" s="37"/>
      <c r="F35" s="54" t="s">
        <v>12</v>
      </c>
      <c r="G35" s="55" t="s">
        <v>14</v>
      </c>
      <c r="H35" s="22" t="s">
        <v>15</v>
      </c>
      <c r="I35" s="13"/>
    </row>
    <row r="36" ht="18.0" customHeight="1">
      <c r="A36" s="44" t="s">
        <v>32</v>
      </c>
      <c r="B36" s="36"/>
      <c r="C36" s="36"/>
      <c r="D36" s="36"/>
      <c r="E36" s="37"/>
      <c r="F36" s="21">
        <v>12.0</v>
      </c>
      <c r="G36" s="29"/>
      <c r="H36" s="21">
        <f t="shared" ref="H36:H45" si="2">F36*G36</f>
        <v>0</v>
      </c>
      <c r="I36" s="13"/>
    </row>
    <row r="37" ht="18.0" customHeight="1">
      <c r="A37" s="43" t="s">
        <v>33</v>
      </c>
      <c r="B37" s="36"/>
      <c r="C37" s="36"/>
      <c r="D37" s="36"/>
      <c r="E37" s="37"/>
      <c r="F37" s="22">
        <v>15.0</v>
      </c>
      <c r="G37" s="21"/>
      <c r="H37" s="22">
        <f t="shared" si="2"/>
        <v>0</v>
      </c>
      <c r="I37" s="13"/>
    </row>
    <row r="38" ht="18.0" customHeight="1">
      <c r="A38" s="44" t="s">
        <v>34</v>
      </c>
      <c r="B38" s="36"/>
      <c r="C38" s="36"/>
      <c r="D38" s="36"/>
      <c r="E38" s="37"/>
      <c r="F38" s="21">
        <v>15.0</v>
      </c>
      <c r="G38" s="29"/>
      <c r="H38" s="21">
        <f t="shared" si="2"/>
        <v>0</v>
      </c>
      <c r="I38" s="13"/>
    </row>
    <row r="39" ht="18.0" customHeight="1">
      <c r="A39" s="43" t="s">
        <v>35</v>
      </c>
      <c r="B39" s="36"/>
      <c r="C39" s="36"/>
      <c r="D39" s="36"/>
      <c r="E39" s="37"/>
      <c r="F39" s="22"/>
      <c r="G39" s="21"/>
      <c r="H39" s="22">
        <f t="shared" si="2"/>
        <v>0</v>
      </c>
      <c r="I39" s="13"/>
    </row>
    <row r="40" ht="18.0" customHeight="1">
      <c r="A40" s="44" t="s">
        <v>36</v>
      </c>
      <c r="B40" s="36"/>
      <c r="C40" s="36"/>
      <c r="D40" s="36"/>
      <c r="E40" s="37"/>
      <c r="F40" s="21">
        <v>10.0</v>
      </c>
      <c r="G40" s="29"/>
      <c r="H40" s="21">
        <f t="shared" si="2"/>
        <v>0</v>
      </c>
      <c r="I40" s="13"/>
    </row>
    <row r="41" ht="18.0" customHeight="1">
      <c r="A41" s="43" t="s">
        <v>37</v>
      </c>
      <c r="B41" s="36"/>
      <c r="C41" s="36"/>
      <c r="D41" s="36"/>
      <c r="E41" s="37"/>
      <c r="F41" s="22"/>
      <c r="G41" s="21"/>
      <c r="H41" s="22">
        <f t="shared" si="2"/>
        <v>0</v>
      </c>
      <c r="I41" s="13"/>
    </row>
    <row r="42" ht="18.0" customHeight="1">
      <c r="A42" s="56" t="s">
        <v>38</v>
      </c>
      <c r="B42" s="36"/>
      <c r="C42" s="36"/>
      <c r="D42" s="36"/>
      <c r="E42" s="37"/>
      <c r="F42" s="21"/>
      <c r="G42" s="29"/>
      <c r="H42" s="21">
        <f t="shared" si="2"/>
        <v>0</v>
      </c>
      <c r="I42" s="13"/>
    </row>
    <row r="43" ht="18.0" customHeight="1">
      <c r="A43" s="43" t="s">
        <v>39</v>
      </c>
      <c r="B43" s="36"/>
      <c r="C43" s="36"/>
      <c r="D43" s="36"/>
      <c r="E43" s="37"/>
      <c r="F43" s="22"/>
      <c r="G43" s="21"/>
      <c r="H43" s="22">
        <f t="shared" si="2"/>
        <v>0</v>
      </c>
      <c r="I43" s="13"/>
    </row>
    <row r="44" ht="18.75" customHeight="1">
      <c r="A44" s="56" t="s">
        <v>40</v>
      </c>
      <c r="B44" s="36"/>
      <c r="C44" s="36"/>
      <c r="D44" s="36"/>
      <c r="E44" s="37"/>
      <c r="F44" s="21">
        <v>40.0</v>
      </c>
      <c r="G44" s="29"/>
      <c r="H44" s="21">
        <f t="shared" si="2"/>
        <v>0</v>
      </c>
      <c r="I44" s="13"/>
    </row>
    <row r="45" ht="18.75" customHeight="1">
      <c r="A45" s="43"/>
      <c r="B45" s="36"/>
      <c r="C45" s="36"/>
      <c r="D45" s="36"/>
      <c r="E45" s="37"/>
      <c r="F45" s="22"/>
      <c r="G45" s="21"/>
      <c r="H45" s="22">
        <f t="shared" si="2"/>
        <v>0</v>
      </c>
      <c r="I45" s="13"/>
    </row>
    <row r="46" ht="18.75" customHeight="1">
      <c r="A46" s="57"/>
      <c r="B46" s="36"/>
      <c r="C46" s="36"/>
      <c r="D46" s="36"/>
      <c r="E46" s="37"/>
      <c r="F46" s="58"/>
      <c r="G46" s="58"/>
      <c r="H46" s="59"/>
      <c r="I46" s="60"/>
    </row>
    <row r="47" ht="18.0" customHeight="1">
      <c r="A47" s="35" t="s">
        <v>41</v>
      </c>
      <c r="B47" s="36"/>
      <c r="C47" s="36"/>
      <c r="D47" s="36"/>
      <c r="E47" s="37"/>
      <c r="F47" s="61" t="s">
        <v>12</v>
      </c>
      <c r="G47" s="21" t="s">
        <v>14</v>
      </c>
      <c r="H47" s="22" t="s">
        <v>15</v>
      </c>
      <c r="I47" s="8"/>
    </row>
    <row r="48" ht="99.75" customHeight="1">
      <c r="A48" s="62" t="s">
        <v>42</v>
      </c>
      <c r="B48" s="63"/>
      <c r="C48" s="63"/>
      <c r="D48" s="63"/>
      <c r="E48" s="63"/>
      <c r="F48" s="64">
        <v>30.0</v>
      </c>
      <c r="G48" s="65"/>
      <c r="H48" s="55">
        <f t="shared" ref="H48:H56" si="3">F48*G48</f>
        <v>0</v>
      </c>
      <c r="I48" s="13"/>
    </row>
    <row r="49" ht="69.75" customHeight="1">
      <c r="A49" s="66" t="s">
        <v>43</v>
      </c>
      <c r="B49" s="67"/>
      <c r="C49" s="67"/>
      <c r="D49" s="67"/>
      <c r="E49" s="68"/>
      <c r="F49" s="69">
        <v>10.0</v>
      </c>
      <c r="G49" s="70"/>
      <c r="H49" s="54">
        <f t="shared" si="3"/>
        <v>0</v>
      </c>
      <c r="I49" s="13"/>
    </row>
    <row r="50" ht="69.75" customHeight="1">
      <c r="A50" s="71" t="s">
        <v>44</v>
      </c>
      <c r="B50" s="63"/>
      <c r="C50" s="63"/>
      <c r="D50" s="63"/>
      <c r="E50" s="63"/>
      <c r="F50" s="64">
        <f>6*0.7</f>
        <v>4.2</v>
      </c>
      <c r="G50" s="65"/>
      <c r="H50" s="55">
        <f t="shared" si="3"/>
        <v>0</v>
      </c>
      <c r="I50" s="13"/>
    </row>
    <row r="51" ht="54.0" customHeight="1">
      <c r="A51" s="66" t="s">
        <v>45</v>
      </c>
      <c r="B51" s="67"/>
      <c r="C51" s="67"/>
      <c r="D51" s="67"/>
      <c r="E51" s="68"/>
      <c r="F51" s="69">
        <v>100.0</v>
      </c>
      <c r="G51" s="70"/>
      <c r="H51" s="54">
        <f t="shared" si="3"/>
        <v>0</v>
      </c>
      <c r="I51" s="13"/>
    </row>
    <row r="52" ht="39.0" customHeight="1">
      <c r="A52" s="71" t="s">
        <v>46</v>
      </c>
      <c r="B52" s="63"/>
      <c r="C52" s="63"/>
      <c r="D52" s="63"/>
      <c r="E52" s="63"/>
      <c r="F52" s="64">
        <v>12.0</v>
      </c>
      <c r="G52" s="65"/>
      <c r="H52" s="55">
        <f t="shared" si="3"/>
        <v>0</v>
      </c>
      <c r="I52" s="13"/>
    </row>
    <row r="53" ht="54.75" customHeight="1">
      <c r="A53" s="66" t="s">
        <v>47</v>
      </c>
      <c r="B53" s="67"/>
      <c r="C53" s="67"/>
      <c r="D53" s="67"/>
      <c r="E53" s="68"/>
      <c r="F53" s="69">
        <v>20.0</v>
      </c>
      <c r="G53" s="70"/>
      <c r="H53" s="54">
        <f t="shared" si="3"/>
        <v>0</v>
      </c>
      <c r="I53" s="13"/>
    </row>
    <row r="54" ht="94.5" customHeight="1">
      <c r="A54" s="71" t="s">
        <v>48</v>
      </c>
      <c r="B54" s="63"/>
      <c r="C54" s="63"/>
      <c r="D54" s="63"/>
      <c r="E54" s="63"/>
      <c r="F54" s="64">
        <v>25.0</v>
      </c>
      <c r="G54" s="65"/>
      <c r="H54" s="55">
        <f t="shared" si="3"/>
        <v>0</v>
      </c>
      <c r="I54" s="13"/>
    </row>
    <row r="55" ht="99.75" customHeight="1">
      <c r="A55" s="66" t="s">
        <v>49</v>
      </c>
      <c r="B55" s="67"/>
      <c r="C55" s="67"/>
      <c r="D55" s="67"/>
      <c r="E55" s="68"/>
      <c r="F55" s="69">
        <v>15.0</v>
      </c>
      <c r="G55" s="70"/>
      <c r="H55" s="54">
        <f t="shared" si="3"/>
        <v>0</v>
      </c>
      <c r="I55" s="13"/>
    </row>
    <row r="56" ht="15.75" customHeight="1">
      <c r="A56" s="40"/>
      <c r="B56" s="36"/>
      <c r="C56" s="36"/>
      <c r="D56" s="36"/>
      <c r="E56" s="37"/>
      <c r="F56" s="21"/>
      <c r="G56" s="29"/>
      <c r="H56" s="22">
        <f t="shared" si="3"/>
        <v>0</v>
      </c>
      <c r="I56" s="13"/>
    </row>
    <row r="57" ht="15.75" customHeight="1">
      <c r="A57" s="72"/>
      <c r="B57" s="4"/>
      <c r="C57" s="4"/>
      <c r="D57" s="4"/>
      <c r="E57" s="4"/>
      <c r="F57" s="73"/>
      <c r="G57" s="73"/>
      <c r="H57" s="74"/>
      <c r="I57" s="13"/>
    </row>
    <row r="58" ht="18.0" customHeight="1">
      <c r="A58" s="35" t="s">
        <v>50</v>
      </c>
      <c r="B58" s="36"/>
      <c r="C58" s="36"/>
      <c r="D58" s="36"/>
      <c r="E58" s="37"/>
      <c r="F58" s="22" t="s">
        <v>29</v>
      </c>
      <c r="G58" s="21" t="s">
        <v>14</v>
      </c>
      <c r="H58" s="22" t="s">
        <v>15</v>
      </c>
      <c r="I58" s="13"/>
    </row>
    <row r="59" ht="15.75" customHeight="1">
      <c r="A59" s="44" t="s">
        <v>51</v>
      </c>
      <c r="B59" s="36"/>
      <c r="C59" s="36"/>
      <c r="D59" s="36"/>
      <c r="E59" s="36"/>
      <c r="F59" s="75" t="s">
        <v>16</v>
      </c>
      <c r="G59" s="76"/>
      <c r="H59" s="21">
        <f>G59*(103+IF(F59="Áno",25,0))</f>
        <v>0</v>
      </c>
      <c r="I59" s="13"/>
    </row>
    <row r="60" ht="15.75" customHeight="1">
      <c r="A60" s="43" t="s">
        <v>52</v>
      </c>
      <c r="B60" s="36"/>
      <c r="C60" s="36"/>
      <c r="D60" s="36"/>
      <c r="E60" s="77"/>
      <c r="F60" s="78" t="s">
        <v>16</v>
      </c>
      <c r="G60" s="79"/>
      <c r="H60" s="22">
        <f>G60*(150+IF(F60="Áno",25,0))</f>
        <v>0</v>
      </c>
      <c r="I60" s="13"/>
    </row>
    <row r="61" ht="15.0" customHeight="1">
      <c r="A61" s="44" t="s">
        <v>53</v>
      </c>
      <c r="B61" s="36"/>
      <c r="C61" s="36"/>
      <c r="D61" s="36"/>
      <c r="E61" s="36"/>
      <c r="F61" s="75" t="s">
        <v>16</v>
      </c>
      <c r="G61" s="76"/>
      <c r="H61" s="21">
        <f>G61*(250+IF(F61="Áno",25,0))</f>
        <v>0</v>
      </c>
      <c r="I61" s="13"/>
    </row>
    <row r="62" ht="30.0" customHeight="1">
      <c r="A62" s="66" t="s">
        <v>54</v>
      </c>
      <c r="B62" s="67"/>
      <c r="C62" s="67"/>
      <c r="D62" s="67"/>
      <c r="E62" s="68"/>
      <c r="F62" s="69" t="s">
        <v>16</v>
      </c>
      <c r="G62" s="80"/>
      <c r="H62" s="22">
        <f>G62*(150+IF(F62="Áno",25,0))</f>
        <v>0</v>
      </c>
      <c r="I62" s="13"/>
    </row>
    <row r="63">
      <c r="A63" s="44" t="s">
        <v>55</v>
      </c>
      <c r="B63" s="36"/>
      <c r="C63" s="36"/>
      <c r="D63" s="36"/>
      <c r="E63" s="36"/>
      <c r="F63" s="75" t="s">
        <v>16</v>
      </c>
      <c r="G63" s="76"/>
      <c r="H63" s="21">
        <f>G63*(130+IF(F63="Áno",25,0))</f>
        <v>0</v>
      </c>
      <c r="I63" s="13"/>
    </row>
    <row r="64" ht="15.75" customHeight="1">
      <c r="A64" s="43" t="s">
        <v>56</v>
      </c>
      <c r="B64" s="36"/>
      <c r="C64" s="36"/>
      <c r="D64" s="36"/>
      <c r="E64" s="77"/>
      <c r="F64" s="78" t="s">
        <v>16</v>
      </c>
      <c r="G64" s="79"/>
      <c r="H64" s="22">
        <f>G64*(265+IF(F64="Áno",25,0))</f>
        <v>0</v>
      </c>
      <c r="I64" s="13"/>
    </row>
    <row r="65" ht="27.75" customHeight="1">
      <c r="A65" s="46" t="s">
        <v>57</v>
      </c>
      <c r="B65" s="36"/>
      <c r="C65" s="36"/>
      <c r="D65" s="36"/>
      <c r="E65" s="36"/>
      <c r="F65" s="75" t="s">
        <v>16</v>
      </c>
      <c r="G65" s="76"/>
      <c r="H65" s="21">
        <f>G65*(285+IF(F65="Áno",25,0))</f>
        <v>0</v>
      </c>
      <c r="I65" s="13"/>
    </row>
    <row r="66" ht="27.0" customHeight="1">
      <c r="A66" s="47" t="s">
        <v>58</v>
      </c>
      <c r="B66" s="36"/>
      <c r="C66" s="36"/>
      <c r="D66" s="36"/>
      <c r="E66" s="77"/>
      <c r="F66" s="78" t="s">
        <v>16</v>
      </c>
      <c r="G66" s="79"/>
      <c r="H66" s="22">
        <f>G66*(250+IF(F66="Áno",50,0))</f>
        <v>0</v>
      </c>
      <c r="I66" s="13"/>
    </row>
    <row r="67" ht="30.0" customHeight="1">
      <c r="A67" s="46" t="s">
        <v>59</v>
      </c>
      <c r="B67" s="36"/>
      <c r="C67" s="36"/>
      <c r="D67" s="36"/>
      <c r="E67" s="36"/>
      <c r="F67" s="75" t="s">
        <v>16</v>
      </c>
      <c r="G67" s="76"/>
      <c r="H67" s="21">
        <f>G67*(350+IF(F67="Áno",50,0))</f>
        <v>0</v>
      </c>
      <c r="I67" s="13"/>
    </row>
    <row r="68" ht="39.75" customHeight="1">
      <c r="A68" s="66" t="s">
        <v>60</v>
      </c>
      <c r="B68" s="67"/>
      <c r="C68" s="67"/>
      <c r="D68" s="67"/>
      <c r="E68" s="68"/>
      <c r="F68" s="69" t="s">
        <v>16</v>
      </c>
      <c r="G68" s="80"/>
      <c r="H68" s="22">
        <f>G68*(180+IF(F68="Áno",25,0))</f>
        <v>0</v>
      </c>
      <c r="I68" s="13"/>
    </row>
    <row r="69" ht="15.75" customHeight="1">
      <c r="A69" s="44" t="s">
        <v>61</v>
      </c>
      <c r="B69" s="36"/>
      <c r="C69" s="36"/>
      <c r="D69" s="36"/>
      <c r="E69" s="36"/>
      <c r="F69" s="75" t="s">
        <v>16</v>
      </c>
      <c r="G69" s="76"/>
      <c r="H69" s="21">
        <f>G69*(150+IF(F69="Áno",25,0))</f>
        <v>0</v>
      </c>
      <c r="I69" s="13"/>
    </row>
    <row r="70" ht="15.75" customHeight="1">
      <c r="A70" s="66" t="s">
        <v>62</v>
      </c>
      <c r="B70" s="67"/>
      <c r="C70" s="67"/>
      <c r="D70" s="67"/>
      <c r="E70" s="68"/>
      <c r="F70" s="69" t="s">
        <v>16</v>
      </c>
      <c r="G70" s="80"/>
      <c r="H70" s="22">
        <f>G70*(290+IF(F70="Áno",25,0))</f>
        <v>0</v>
      </c>
      <c r="I70" s="13"/>
    </row>
    <row r="71" ht="15.75" customHeight="1">
      <c r="A71" s="44" t="s">
        <v>63</v>
      </c>
      <c r="B71" s="36"/>
      <c r="C71" s="36"/>
      <c r="D71" s="36"/>
      <c r="E71" s="36"/>
      <c r="F71" s="75" t="s">
        <v>16</v>
      </c>
      <c r="G71" s="76"/>
      <c r="H71" s="21">
        <f>G71*(57+IF(F71="Áno",25,0))</f>
        <v>0</v>
      </c>
      <c r="I71" s="13"/>
    </row>
    <row r="72" ht="15.75" customHeight="1">
      <c r="A72" s="66" t="s">
        <v>64</v>
      </c>
      <c r="B72" s="67"/>
      <c r="C72" s="67"/>
      <c r="D72" s="67"/>
      <c r="E72" s="68"/>
      <c r="F72" s="69" t="s">
        <v>16</v>
      </c>
      <c r="G72" s="80"/>
      <c r="H72" s="22">
        <f>G72*(0+IF(F72="Áno",25,0))</f>
        <v>0</v>
      </c>
      <c r="I72" s="13"/>
    </row>
    <row r="73" ht="15.75" customHeight="1">
      <c r="A73" s="44" t="s">
        <v>65</v>
      </c>
      <c r="B73" s="36"/>
      <c r="C73" s="36"/>
      <c r="D73" s="36"/>
      <c r="E73" s="36"/>
      <c r="F73" s="75" t="s">
        <v>16</v>
      </c>
      <c r="G73" s="76"/>
      <c r="H73" s="21">
        <f>G73*(87+IF(F73="Áno",25,0))</f>
        <v>0</v>
      </c>
      <c r="I73" s="13"/>
    </row>
    <row r="74" ht="15.75" customHeight="1">
      <c r="A74" s="66" t="s">
        <v>66</v>
      </c>
      <c r="B74" s="67"/>
      <c r="C74" s="67"/>
      <c r="D74" s="67"/>
      <c r="E74" s="68"/>
      <c r="F74" s="69" t="s">
        <v>16</v>
      </c>
      <c r="G74" s="80"/>
      <c r="H74" s="22">
        <f>G74*(220+IF(F74="Áno",50,0))</f>
        <v>0</v>
      </c>
      <c r="I74" s="13"/>
    </row>
    <row r="75" ht="15.75" customHeight="1">
      <c r="A75" s="44" t="s">
        <v>67</v>
      </c>
      <c r="B75" s="36"/>
      <c r="C75" s="36"/>
      <c r="D75" s="36"/>
      <c r="E75" s="36"/>
      <c r="F75" s="75" t="s">
        <v>16</v>
      </c>
      <c r="G75" s="76"/>
      <c r="H75" s="21">
        <f>G75*(490+IF(F75="Áno",50,0))</f>
        <v>0</v>
      </c>
      <c r="I75" s="13"/>
    </row>
    <row r="76" ht="15.75" customHeight="1">
      <c r="A76" s="66" t="s">
        <v>68</v>
      </c>
      <c r="B76" s="67"/>
      <c r="C76" s="67"/>
      <c r="D76" s="67"/>
      <c r="E76" s="68"/>
      <c r="F76" s="69" t="s">
        <v>16</v>
      </c>
      <c r="G76" s="80"/>
      <c r="H76" s="22">
        <f>G76*(210+IF(F76="Áno",25,0))</f>
        <v>0</v>
      </c>
      <c r="I76" s="13"/>
    </row>
    <row r="77" ht="15.75" customHeight="1">
      <c r="A77" s="44" t="s">
        <v>69</v>
      </c>
      <c r="B77" s="36"/>
      <c r="C77" s="36"/>
      <c r="D77" s="36"/>
      <c r="E77" s="36"/>
      <c r="F77" s="75" t="s">
        <v>16</v>
      </c>
      <c r="G77" s="76"/>
      <c r="H77" s="21">
        <f>G77*(190+IF(F77="Áno",25,0))</f>
        <v>0</v>
      </c>
      <c r="I77" s="13"/>
    </row>
    <row r="78" ht="15.75" customHeight="1">
      <c r="A78" s="47" t="s">
        <v>70</v>
      </c>
      <c r="B78" s="36"/>
      <c r="C78" s="36"/>
      <c r="D78" s="36"/>
      <c r="E78" s="37"/>
      <c r="F78" s="81" t="s">
        <v>16</v>
      </c>
      <c r="G78" s="82"/>
      <c r="H78" s="22">
        <f>G78*(180+IF(F78="Áno",25,0))</f>
        <v>0</v>
      </c>
      <c r="I78" s="13"/>
    </row>
    <row r="79" ht="15.75" customHeight="1">
      <c r="A79" s="44"/>
      <c r="B79" s="36"/>
      <c r="C79" s="36"/>
      <c r="D79" s="36"/>
      <c r="E79" s="36"/>
      <c r="F79" s="75"/>
      <c r="G79" s="76"/>
      <c r="H79" s="21"/>
      <c r="I79" s="13"/>
    </row>
    <row r="80" ht="15.75" customHeight="1">
      <c r="F80" s="53"/>
      <c r="G80" s="53"/>
      <c r="H80" s="53"/>
      <c r="I80" s="13"/>
    </row>
    <row r="81" ht="27.0" customHeight="1">
      <c r="A81" s="83" t="s">
        <v>71</v>
      </c>
      <c r="B81" s="36"/>
      <c r="C81" s="36"/>
      <c r="D81" s="36"/>
      <c r="E81" s="36"/>
      <c r="F81" s="36"/>
      <c r="G81" s="37"/>
      <c r="H81" s="84">
        <f>SUM(H1:H79)</f>
        <v>0</v>
      </c>
      <c r="I81" s="13"/>
    </row>
    <row r="82" ht="27.0" customHeight="1">
      <c r="A82" s="85" t="s">
        <v>72</v>
      </c>
      <c r="B82" s="36"/>
      <c r="C82" s="36"/>
      <c r="D82" s="36"/>
      <c r="E82" s="36"/>
      <c r="F82" s="36"/>
      <c r="G82" s="37"/>
      <c r="H82" s="86">
        <f>(H81*0.23)+H81</f>
        <v>0</v>
      </c>
      <c r="I82" s="60"/>
    </row>
    <row r="83" ht="15.75" customHeight="1"/>
    <row r="84" ht="30.75" customHeight="1">
      <c r="A84" s="87" t="s">
        <v>73</v>
      </c>
      <c r="B84" s="36"/>
      <c r="C84" s="36"/>
      <c r="D84" s="36"/>
      <c r="E84" s="36"/>
      <c r="F84" s="36"/>
      <c r="G84" s="36"/>
      <c r="H84" s="37"/>
      <c r="I84" s="88"/>
    </row>
    <row r="85" ht="57.0" customHeight="1">
      <c r="A85" s="89" t="s">
        <v>74</v>
      </c>
      <c r="B85" s="36"/>
      <c r="C85" s="36"/>
      <c r="D85" s="36"/>
      <c r="E85" s="36"/>
      <c r="F85" s="36"/>
      <c r="G85" s="36"/>
      <c r="H85" s="37"/>
      <c r="I85" s="88"/>
    </row>
    <row r="86" ht="45.0" customHeight="1">
      <c r="A86" s="89" t="s">
        <v>75</v>
      </c>
      <c r="B86" s="36"/>
      <c r="C86" s="36"/>
      <c r="D86" s="36"/>
      <c r="E86" s="36"/>
      <c r="F86" s="36"/>
      <c r="G86" s="36"/>
      <c r="H86" s="37"/>
      <c r="I86" s="88"/>
    </row>
    <row r="87" ht="40.5" customHeight="1">
      <c r="A87" s="89" t="s">
        <v>76</v>
      </c>
      <c r="B87" s="36"/>
      <c r="C87" s="36"/>
      <c r="D87" s="36"/>
      <c r="E87" s="36"/>
      <c r="F87" s="36"/>
      <c r="G87" s="36"/>
      <c r="H87" s="37"/>
      <c r="I87" s="88"/>
    </row>
    <row r="88" ht="31.5" customHeight="1">
      <c r="A88" s="89" t="s">
        <v>77</v>
      </c>
      <c r="B88" s="36"/>
      <c r="C88" s="36"/>
      <c r="D88" s="36"/>
      <c r="E88" s="36"/>
      <c r="F88" s="36"/>
      <c r="G88" s="36"/>
      <c r="H88" s="37"/>
      <c r="I88" s="88"/>
    </row>
    <row r="89" ht="31.5" customHeight="1">
      <c r="A89" s="90" t="s">
        <v>78</v>
      </c>
      <c r="B89" s="36"/>
      <c r="C89" s="36"/>
      <c r="D89" s="36"/>
      <c r="E89" s="36"/>
      <c r="F89" s="36"/>
      <c r="G89" s="36"/>
      <c r="H89" s="37"/>
      <c r="I89" s="88"/>
    </row>
    <row r="90" ht="81.75" customHeight="1">
      <c r="A90" s="90" t="s">
        <v>79</v>
      </c>
      <c r="B90" s="36"/>
      <c r="C90" s="36"/>
      <c r="D90" s="36"/>
      <c r="E90" s="36"/>
      <c r="F90" s="36"/>
      <c r="G90" s="36"/>
      <c r="H90" s="37"/>
      <c r="I90" s="88"/>
    </row>
    <row r="91" ht="298.5" customHeight="1">
      <c r="A91" s="90" t="s">
        <v>80</v>
      </c>
      <c r="B91" s="36"/>
      <c r="C91" s="36"/>
      <c r="D91" s="36"/>
      <c r="E91" s="36"/>
      <c r="F91" s="36"/>
      <c r="G91" s="36"/>
      <c r="H91" s="37"/>
      <c r="I91" s="88"/>
    </row>
    <row r="92" ht="141.75" customHeight="1">
      <c r="A92" s="90" t="s">
        <v>81</v>
      </c>
      <c r="B92" s="36"/>
      <c r="C92" s="36"/>
      <c r="D92" s="36"/>
      <c r="E92" s="36"/>
      <c r="F92" s="36"/>
      <c r="G92" s="36"/>
      <c r="H92" s="37"/>
      <c r="I92" s="88"/>
    </row>
    <row r="93" ht="81.75" customHeight="1">
      <c r="A93" s="89" t="s">
        <v>82</v>
      </c>
      <c r="B93" s="36"/>
      <c r="C93" s="36"/>
      <c r="D93" s="36"/>
      <c r="E93" s="36"/>
      <c r="F93" s="36"/>
      <c r="G93" s="36"/>
      <c r="H93" s="37"/>
      <c r="I93" s="88"/>
    </row>
    <row r="94" ht="33.0" customHeight="1">
      <c r="A94" s="89" t="s">
        <v>83</v>
      </c>
      <c r="B94" s="36"/>
      <c r="C94" s="36"/>
      <c r="D94" s="36"/>
      <c r="E94" s="36"/>
      <c r="F94" s="36"/>
      <c r="G94" s="36"/>
      <c r="H94" s="37"/>
      <c r="I94" s="88"/>
    </row>
    <row r="95" ht="42.0" customHeight="1">
      <c r="A95" s="90" t="s">
        <v>84</v>
      </c>
      <c r="B95" s="36"/>
      <c r="C95" s="36"/>
      <c r="D95" s="36"/>
      <c r="E95" s="36"/>
      <c r="F95" s="36"/>
      <c r="G95" s="36"/>
      <c r="H95" s="37"/>
      <c r="I95" s="88"/>
    </row>
    <row r="96" ht="43.5" customHeight="1">
      <c r="A96" s="89" t="s">
        <v>85</v>
      </c>
      <c r="B96" s="36"/>
      <c r="C96" s="36"/>
      <c r="D96" s="36"/>
      <c r="E96" s="36"/>
      <c r="F96" s="36"/>
      <c r="G96" s="36"/>
      <c r="H96" s="37"/>
      <c r="I96" s="88"/>
    </row>
    <row r="97" ht="15.0" customHeight="1">
      <c r="A97" s="90" t="s">
        <v>86</v>
      </c>
      <c r="B97" s="36"/>
      <c r="C97" s="36"/>
      <c r="D97" s="36"/>
      <c r="E97" s="36"/>
      <c r="F97" s="36"/>
      <c r="G97" s="36"/>
      <c r="H97" s="37"/>
      <c r="I97" s="88"/>
    </row>
    <row r="98" ht="19.5" customHeight="1">
      <c r="A98" s="89" t="s">
        <v>87</v>
      </c>
      <c r="B98" s="36"/>
      <c r="C98" s="36"/>
      <c r="D98" s="36"/>
      <c r="E98" s="36"/>
      <c r="F98" s="36"/>
      <c r="G98" s="36"/>
      <c r="H98" s="37"/>
      <c r="I98" s="88"/>
    </row>
    <row r="99" ht="15.75" customHeight="1">
      <c r="A99" s="89" t="s">
        <v>88</v>
      </c>
      <c r="B99" s="36"/>
      <c r="C99" s="36"/>
      <c r="D99" s="36"/>
      <c r="E99" s="36"/>
      <c r="F99" s="36"/>
      <c r="G99" s="36"/>
      <c r="H99" s="37"/>
      <c r="I99" s="88"/>
    </row>
    <row r="100" ht="60.0" customHeight="1">
      <c r="A100" s="89" t="s">
        <v>89</v>
      </c>
      <c r="B100" s="36"/>
      <c r="C100" s="36"/>
      <c r="D100" s="36"/>
      <c r="E100" s="36"/>
      <c r="F100" s="36"/>
      <c r="G100" s="36"/>
      <c r="H100" s="37"/>
      <c r="I100" s="88"/>
    </row>
  </sheetData>
  <mergeCells count="92">
    <mergeCell ref="F4:H4"/>
    <mergeCell ref="F5:H5"/>
    <mergeCell ref="A17:E17"/>
    <mergeCell ref="A18:E18"/>
    <mergeCell ref="A19:E19"/>
    <mergeCell ref="A20:E20"/>
    <mergeCell ref="A21:E21"/>
    <mergeCell ref="A22:E22"/>
    <mergeCell ref="A23:E23"/>
    <mergeCell ref="A25:E25"/>
    <mergeCell ref="A26:E26"/>
    <mergeCell ref="A27:E27"/>
    <mergeCell ref="A29:E29"/>
    <mergeCell ref="F29:H29"/>
    <mergeCell ref="A30:E30"/>
    <mergeCell ref="F30:H30"/>
    <mergeCell ref="A32:E32"/>
    <mergeCell ref="A33:E33"/>
    <mergeCell ref="A35:E35"/>
    <mergeCell ref="A36:E36"/>
    <mergeCell ref="A37:E37"/>
    <mergeCell ref="A38:E38"/>
    <mergeCell ref="A39:E39"/>
    <mergeCell ref="A40:E40"/>
    <mergeCell ref="A41:E41"/>
    <mergeCell ref="A42:E42"/>
    <mergeCell ref="A43:E43"/>
    <mergeCell ref="A44:E44"/>
    <mergeCell ref="F27:H27"/>
    <mergeCell ref="A28:E28"/>
    <mergeCell ref="F28:H28"/>
    <mergeCell ref="A45:E45"/>
    <mergeCell ref="A46:E46"/>
    <mergeCell ref="A47:E47"/>
    <mergeCell ref="A49:E49"/>
    <mergeCell ref="A50:E50"/>
    <mergeCell ref="A51:E51"/>
    <mergeCell ref="A52:E52"/>
    <mergeCell ref="A53:E53"/>
    <mergeCell ref="A54:E54"/>
    <mergeCell ref="A55:E55"/>
    <mergeCell ref="A56:E56"/>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98:H98"/>
    <mergeCell ref="A99:H99"/>
    <mergeCell ref="A100:H100"/>
    <mergeCell ref="A91:H91"/>
    <mergeCell ref="A92:H92"/>
    <mergeCell ref="A93:H93"/>
    <mergeCell ref="A94:H94"/>
    <mergeCell ref="A95:H95"/>
    <mergeCell ref="A96:H96"/>
    <mergeCell ref="A97:H97"/>
    <mergeCell ref="A5:D5"/>
    <mergeCell ref="A48:E48"/>
    <mergeCell ref="A74:E74"/>
    <mergeCell ref="A75:E75"/>
    <mergeCell ref="A76:E76"/>
    <mergeCell ref="A77:E77"/>
    <mergeCell ref="A78:E78"/>
    <mergeCell ref="A79:E79"/>
    <mergeCell ref="A81:G81"/>
    <mergeCell ref="A82:G82"/>
    <mergeCell ref="A1:D2"/>
    <mergeCell ref="F1:H1"/>
    <mergeCell ref="I1:I46"/>
    <mergeCell ref="F2:H2"/>
    <mergeCell ref="A3:D4"/>
    <mergeCell ref="F3:H3"/>
    <mergeCell ref="I47:I82"/>
    <mergeCell ref="A84:H84"/>
    <mergeCell ref="A85:H85"/>
    <mergeCell ref="A86:H86"/>
    <mergeCell ref="A87:H87"/>
    <mergeCell ref="A88:H88"/>
    <mergeCell ref="A89:H89"/>
    <mergeCell ref="A90:H90"/>
  </mergeCells>
  <printOptions/>
  <pageMargins bottom="0.75" footer="0.0" header="0.0" left="0.7" right="0.7" top="0.75"/>
  <pageSetup paperSize="9" orientation="portrait"/>
  <rowBreaks count="1" manualBreakCount="1">
    <brk id="82"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63"/>
    <col customWidth="1" min="2" max="2" width="5.13"/>
    <col customWidth="1" min="4" max="4" width="14.0"/>
    <col customWidth="1" min="5" max="5" width="4.0"/>
  </cols>
  <sheetData>
    <row r="1">
      <c r="A1" s="45" t="s">
        <v>90</v>
      </c>
      <c r="B1" s="45" t="s">
        <v>91</v>
      </c>
      <c r="D1" s="45" t="s">
        <v>92</v>
      </c>
      <c r="E1" s="45">
        <v>35.0</v>
      </c>
    </row>
    <row r="2">
      <c r="A2" s="45" t="s">
        <v>93</v>
      </c>
      <c r="B2" s="91">
        <v>169.0</v>
      </c>
      <c r="D2" s="45" t="s">
        <v>94</v>
      </c>
      <c r="E2" s="45">
        <v>210.0</v>
      </c>
    </row>
    <row r="3">
      <c r="A3" s="45" t="s">
        <v>95</v>
      </c>
      <c r="B3" s="91">
        <v>169.0</v>
      </c>
      <c r="D3" s="45" t="s">
        <v>96</v>
      </c>
      <c r="E3" s="45">
        <v>99.0</v>
      </c>
    </row>
    <row r="4">
      <c r="A4" s="45" t="s">
        <v>97</v>
      </c>
      <c r="B4" s="91">
        <v>169.0</v>
      </c>
      <c r="D4" s="45" t="s">
        <v>98</v>
      </c>
      <c r="E4" s="45">
        <v>80.0</v>
      </c>
    </row>
    <row r="5">
      <c r="A5" s="45" t="s">
        <v>99</v>
      </c>
      <c r="B5" s="91">
        <v>169.0</v>
      </c>
    </row>
    <row r="6">
      <c r="A6" s="45" t="s">
        <v>100</v>
      </c>
      <c r="B6" s="91">
        <v>179.0</v>
      </c>
    </row>
    <row r="7">
      <c r="A7" s="45" t="s">
        <v>101</v>
      </c>
      <c r="B7" s="91">
        <v>219.0</v>
      </c>
    </row>
    <row r="8">
      <c r="A8" s="45" t="s">
        <v>102</v>
      </c>
      <c r="B8" s="91">
        <v>179.0</v>
      </c>
    </row>
    <row r="9">
      <c r="A9" s="45" t="s">
        <v>103</v>
      </c>
      <c r="B9" s="91">
        <v>179.0</v>
      </c>
    </row>
    <row r="10">
      <c r="A10" s="45" t="s">
        <v>104</v>
      </c>
      <c r="B10" s="91">
        <v>169.0</v>
      </c>
    </row>
    <row r="11">
      <c r="A11" s="45" t="s">
        <v>105</v>
      </c>
      <c r="B11" s="91">
        <v>169.0</v>
      </c>
    </row>
    <row r="12">
      <c r="A12" s="45" t="s">
        <v>106</v>
      </c>
      <c r="B12" s="91">
        <v>149.0</v>
      </c>
    </row>
    <row r="13">
      <c r="A13" s="45" t="s">
        <v>107</v>
      </c>
      <c r="B13" s="91">
        <v>169.0</v>
      </c>
    </row>
    <row r="14">
      <c r="A14" s="45" t="s">
        <v>108</v>
      </c>
      <c r="B14" s="91">
        <v>159.0</v>
      </c>
    </row>
    <row r="15">
      <c r="A15" s="45" t="s">
        <v>109</v>
      </c>
      <c r="B15" s="91">
        <v>159.0</v>
      </c>
    </row>
    <row r="16">
      <c r="A16" s="45" t="s">
        <v>110</v>
      </c>
      <c r="B16" s="91">
        <v>149.0</v>
      </c>
    </row>
    <row r="17">
      <c r="A17" s="45" t="s">
        <v>111</v>
      </c>
      <c r="B17" s="91">
        <v>159.0</v>
      </c>
    </row>
    <row r="18">
      <c r="A18" s="45" t="s">
        <v>112</v>
      </c>
      <c r="B18" s="91">
        <v>169.0</v>
      </c>
    </row>
    <row r="19">
      <c r="A19" s="45" t="s">
        <v>113</v>
      </c>
      <c r="B19" s="91">
        <v>169.0</v>
      </c>
    </row>
    <row r="20">
      <c r="A20" s="45" t="s">
        <v>114</v>
      </c>
      <c r="B20" s="91">
        <v>169.0</v>
      </c>
    </row>
    <row r="21">
      <c r="A21" s="45" t="s">
        <v>115</v>
      </c>
      <c r="B21" s="91">
        <v>169.0</v>
      </c>
    </row>
    <row r="22">
      <c r="A22" s="45" t="s">
        <v>116</v>
      </c>
      <c r="B22" s="91">
        <v>179.0</v>
      </c>
    </row>
    <row r="23">
      <c r="A23" s="45" t="s">
        <v>117</v>
      </c>
      <c r="B23" s="91">
        <v>219.0</v>
      </c>
    </row>
    <row r="24">
      <c r="A24" s="45" t="s">
        <v>118</v>
      </c>
      <c r="B24" s="91">
        <v>179.0</v>
      </c>
    </row>
    <row r="25">
      <c r="A25" s="45" t="s">
        <v>119</v>
      </c>
      <c r="B25" s="91">
        <v>179.0</v>
      </c>
    </row>
    <row r="26">
      <c r="A26" s="45" t="s">
        <v>120</v>
      </c>
      <c r="B26" s="91">
        <v>169.0</v>
      </c>
    </row>
    <row r="27">
      <c r="A27" s="45" t="s">
        <v>121</v>
      </c>
      <c r="B27" s="91">
        <v>169.0</v>
      </c>
    </row>
    <row r="28">
      <c r="A28" s="45" t="s">
        <v>122</v>
      </c>
      <c r="B28" s="91">
        <v>149.0</v>
      </c>
    </row>
    <row r="29">
      <c r="A29" s="45" t="s">
        <v>123</v>
      </c>
      <c r="B29" s="91">
        <v>169.0</v>
      </c>
    </row>
    <row r="30">
      <c r="A30" s="45" t="s">
        <v>124</v>
      </c>
      <c r="B30" s="91">
        <v>159.0</v>
      </c>
    </row>
    <row r="31">
      <c r="A31" s="45" t="s">
        <v>125</v>
      </c>
      <c r="B31" s="91">
        <v>159.0</v>
      </c>
    </row>
    <row r="32">
      <c r="A32" s="45" t="s">
        <v>126</v>
      </c>
      <c r="B32" s="91">
        <v>149.0</v>
      </c>
    </row>
    <row r="33">
      <c r="A33" s="45" t="s">
        <v>127</v>
      </c>
      <c r="B33" s="91">
        <v>159.0</v>
      </c>
    </row>
    <row r="34">
      <c r="A34" s="45" t="s">
        <v>128</v>
      </c>
      <c r="B34" s="91">
        <v>192.0</v>
      </c>
    </row>
    <row r="35">
      <c r="A35" s="45" t="s">
        <v>129</v>
      </c>
      <c r="B35" s="91">
        <v>192.0</v>
      </c>
    </row>
    <row r="36">
      <c r="A36" s="45" t="s">
        <v>130</v>
      </c>
      <c r="B36" s="91">
        <v>212.0</v>
      </c>
    </row>
    <row r="37">
      <c r="A37" s="45" t="s">
        <v>131</v>
      </c>
      <c r="B37" s="91">
        <v>262.0</v>
      </c>
    </row>
    <row r="38">
      <c r="A38" s="45" t="s">
        <v>132</v>
      </c>
      <c r="B38" s="91">
        <v>262.0</v>
      </c>
    </row>
    <row r="39">
      <c r="A39" s="45" t="s">
        <v>133</v>
      </c>
      <c r="B39" s="91">
        <v>262.0</v>
      </c>
    </row>
    <row r="40">
      <c r="A40" s="45" t="s">
        <v>134</v>
      </c>
      <c r="B40" s="91">
        <v>242.0</v>
      </c>
    </row>
    <row r="41">
      <c r="A41" s="45" t="s">
        <v>135</v>
      </c>
      <c r="B41" s="91">
        <v>242.0</v>
      </c>
    </row>
    <row r="42">
      <c r="A42" s="45" t="s">
        <v>136</v>
      </c>
      <c r="B42" s="91">
        <v>242.0</v>
      </c>
    </row>
    <row r="43">
      <c r="A43" s="45" t="s">
        <v>137</v>
      </c>
      <c r="B43" s="91">
        <v>212.0</v>
      </c>
    </row>
    <row r="44">
      <c r="A44" s="45" t="s">
        <v>138</v>
      </c>
      <c r="B44" s="91">
        <v>212.0</v>
      </c>
    </row>
    <row r="45">
      <c r="A45" s="45" t="s">
        <v>139</v>
      </c>
      <c r="B45" s="91">
        <v>242.0</v>
      </c>
    </row>
    <row r="46">
      <c r="A46" s="45" t="s">
        <v>140</v>
      </c>
      <c r="B46" s="91">
        <v>169.0</v>
      </c>
    </row>
    <row r="47">
      <c r="A47" s="45" t="s">
        <v>141</v>
      </c>
      <c r="B47" s="91">
        <v>169.0</v>
      </c>
    </row>
    <row r="48">
      <c r="A48" s="45" t="s">
        <v>142</v>
      </c>
      <c r="B48" s="91">
        <v>169.0</v>
      </c>
    </row>
    <row r="49">
      <c r="A49" s="45" t="s">
        <v>143</v>
      </c>
      <c r="B49" s="91">
        <v>169.0</v>
      </c>
    </row>
    <row r="50">
      <c r="A50" s="45" t="s">
        <v>144</v>
      </c>
      <c r="B50" s="91">
        <v>179.0</v>
      </c>
    </row>
    <row r="51">
      <c r="A51" s="45" t="s">
        <v>145</v>
      </c>
      <c r="B51" s="91">
        <v>219.0</v>
      </c>
    </row>
    <row r="52">
      <c r="A52" s="45" t="s">
        <v>146</v>
      </c>
      <c r="B52" s="91">
        <v>179.0</v>
      </c>
    </row>
    <row r="53">
      <c r="A53" s="45" t="s">
        <v>147</v>
      </c>
      <c r="B53" s="91">
        <v>179.0</v>
      </c>
    </row>
    <row r="54">
      <c r="A54" s="45" t="s">
        <v>148</v>
      </c>
      <c r="B54" s="91">
        <v>169.0</v>
      </c>
    </row>
    <row r="55">
      <c r="A55" s="45" t="s">
        <v>149</v>
      </c>
      <c r="B55" s="91">
        <v>169.0</v>
      </c>
    </row>
    <row r="56">
      <c r="A56" s="45" t="s">
        <v>150</v>
      </c>
      <c r="B56" s="91">
        <v>149.0</v>
      </c>
    </row>
    <row r="57">
      <c r="A57" s="45" t="s">
        <v>151</v>
      </c>
      <c r="B57" s="91">
        <v>169.0</v>
      </c>
    </row>
    <row r="58">
      <c r="A58" s="45" t="s">
        <v>152</v>
      </c>
      <c r="B58" s="91">
        <v>159.0</v>
      </c>
    </row>
    <row r="59">
      <c r="A59" s="45" t="s">
        <v>153</v>
      </c>
      <c r="B59" s="91">
        <v>159.0</v>
      </c>
    </row>
    <row r="60">
      <c r="A60" s="45" t="s">
        <v>154</v>
      </c>
      <c r="B60" s="91">
        <v>149.0</v>
      </c>
    </row>
    <row r="61">
      <c r="A61" s="45" t="s">
        <v>155</v>
      </c>
      <c r="B61" s="91">
        <v>159.0</v>
      </c>
    </row>
    <row r="62">
      <c r="A62" s="45" t="s">
        <v>156</v>
      </c>
      <c r="B62" s="91">
        <v>192.0</v>
      </c>
    </row>
    <row r="63">
      <c r="A63" s="45" t="s">
        <v>157</v>
      </c>
      <c r="B63" s="91">
        <v>192.0</v>
      </c>
    </row>
    <row r="64">
      <c r="A64" s="45" t="s">
        <v>158</v>
      </c>
      <c r="B64" s="91">
        <v>232.0</v>
      </c>
    </row>
    <row r="65">
      <c r="A65" s="45" t="s">
        <v>159</v>
      </c>
      <c r="B65" s="91">
        <v>222.0</v>
      </c>
    </row>
    <row r="66">
      <c r="A66" s="45" t="s">
        <v>160</v>
      </c>
      <c r="B66" s="91">
        <v>235.0</v>
      </c>
    </row>
    <row r="67">
      <c r="A67" s="45" t="s">
        <v>161</v>
      </c>
      <c r="B67" s="91">
        <v>275.0</v>
      </c>
    </row>
    <row r="68">
      <c r="A68" s="45" t="s">
        <v>162</v>
      </c>
      <c r="B68" s="91">
        <v>275.0</v>
      </c>
    </row>
    <row r="69">
      <c r="A69" s="45" t="s">
        <v>163</v>
      </c>
      <c r="B69" s="91">
        <v>259.0</v>
      </c>
    </row>
    <row r="70">
      <c r="A70" s="45" t="s">
        <v>164</v>
      </c>
      <c r="B70" s="91">
        <v>269.0</v>
      </c>
    </row>
    <row r="71">
      <c r="A71" s="45" t="s">
        <v>165</v>
      </c>
      <c r="B71" s="91">
        <v>242.0</v>
      </c>
    </row>
    <row r="72">
      <c r="A72" s="45" t="s">
        <v>166</v>
      </c>
      <c r="B72" s="91">
        <v>232.0</v>
      </c>
    </row>
    <row r="73">
      <c r="A73" s="45" t="s">
        <v>167</v>
      </c>
      <c r="B73" s="91">
        <v>232.0</v>
      </c>
    </row>
    <row r="74">
      <c r="A74" s="45" t="s">
        <v>168</v>
      </c>
      <c r="B74" s="91">
        <v>139.0</v>
      </c>
    </row>
    <row r="75">
      <c r="A75" s="45" t="s">
        <v>169</v>
      </c>
      <c r="B75" s="91">
        <v>179.0</v>
      </c>
    </row>
    <row r="76">
      <c r="A76" s="45" t="s">
        <v>170</v>
      </c>
      <c r="B76" s="91">
        <v>179.0</v>
      </c>
    </row>
    <row r="77">
      <c r="A77" s="45" t="s">
        <v>171</v>
      </c>
      <c r="B77" s="91">
        <v>192.0</v>
      </c>
    </row>
    <row r="78">
      <c r="A78" s="45" t="s">
        <v>172</v>
      </c>
      <c r="B78" s="91">
        <v>179.0</v>
      </c>
    </row>
    <row r="79">
      <c r="A79" s="45" t="s">
        <v>173</v>
      </c>
      <c r="B79" s="91">
        <v>192.0</v>
      </c>
    </row>
    <row r="80">
      <c r="A80" s="45" t="s">
        <v>174</v>
      </c>
      <c r="B80" s="91">
        <v>192.0</v>
      </c>
    </row>
    <row r="81">
      <c r="A81" s="45" t="s">
        <v>175</v>
      </c>
      <c r="B81" s="91">
        <v>192.0</v>
      </c>
    </row>
    <row r="82">
      <c r="A82" s="45" t="s">
        <v>176</v>
      </c>
      <c r="B82" s="91">
        <v>192.0</v>
      </c>
    </row>
    <row r="83">
      <c r="A83" s="45" t="s">
        <v>177</v>
      </c>
      <c r="B83" s="91">
        <v>192.0</v>
      </c>
    </row>
    <row r="84">
      <c r="A84" s="45" t="s">
        <v>178</v>
      </c>
      <c r="B84" s="91">
        <v>192.0</v>
      </c>
    </row>
    <row r="85">
      <c r="A85" s="45" t="s">
        <v>179</v>
      </c>
      <c r="B85" s="91">
        <v>192.0</v>
      </c>
    </row>
    <row r="86">
      <c r="A86" s="45" t="s">
        <v>180</v>
      </c>
      <c r="B86" s="91">
        <v>192.0</v>
      </c>
    </row>
    <row r="87">
      <c r="A87" s="45" t="s">
        <v>181</v>
      </c>
      <c r="B87" s="91">
        <v>192.0</v>
      </c>
    </row>
    <row r="88">
      <c r="A88" s="45" t="s">
        <v>182</v>
      </c>
      <c r="B88" s="91">
        <v>292.0</v>
      </c>
    </row>
    <row r="89">
      <c r="A89" s="45" t="s">
        <v>183</v>
      </c>
      <c r="B89" s="91">
        <v>292.0</v>
      </c>
    </row>
    <row r="90">
      <c r="A90" s="45" t="s">
        <v>184</v>
      </c>
      <c r="B90" s="91">
        <v>292.0</v>
      </c>
    </row>
    <row r="91">
      <c r="A91" s="45" t="s">
        <v>185</v>
      </c>
      <c r="B91" s="91">
        <v>292.0</v>
      </c>
    </row>
    <row r="92">
      <c r="A92" s="45" t="s">
        <v>186</v>
      </c>
      <c r="B92" s="91">
        <v>292.0</v>
      </c>
    </row>
    <row r="93">
      <c r="A93" s="45" t="s">
        <v>187</v>
      </c>
      <c r="B93" s="91">
        <v>292.0</v>
      </c>
    </row>
    <row r="94">
      <c r="A94" s="45" t="s">
        <v>188</v>
      </c>
      <c r="B94" s="91">
        <v>292.0</v>
      </c>
    </row>
    <row r="95">
      <c r="A95" s="45" t="s">
        <v>189</v>
      </c>
      <c r="B95" s="91">
        <v>292.0</v>
      </c>
    </row>
    <row r="96">
      <c r="A96" s="45" t="s">
        <v>190</v>
      </c>
      <c r="B96" s="91">
        <v>292.0</v>
      </c>
    </row>
    <row r="97">
      <c r="A97" s="45" t="s">
        <v>191</v>
      </c>
      <c r="B97" s="45">
        <v>491.0</v>
      </c>
    </row>
    <row r="98">
      <c r="A98" s="45" t="s">
        <v>192</v>
      </c>
      <c r="B98" s="45">
        <v>491.0</v>
      </c>
    </row>
    <row r="99">
      <c r="A99" s="45" t="s">
        <v>193</v>
      </c>
      <c r="B99" s="45">
        <v>591.0</v>
      </c>
    </row>
    <row r="100">
      <c r="A100" s="45" t="s">
        <v>194</v>
      </c>
      <c r="B100" s="45">
        <v>591.0</v>
      </c>
    </row>
    <row r="101">
      <c r="A101" s="45" t="s">
        <v>195</v>
      </c>
      <c r="B101" s="45">
        <v>650.0</v>
      </c>
    </row>
    <row r="102">
      <c r="A102" s="45" t="s">
        <v>196</v>
      </c>
      <c r="B102" s="45">
        <v>709.0</v>
      </c>
    </row>
    <row r="103">
      <c r="A103" s="45" t="s">
        <v>197</v>
      </c>
      <c r="B103" s="45">
        <v>791.0</v>
      </c>
    </row>
    <row r="104">
      <c r="A104" s="45" t="s">
        <v>198</v>
      </c>
      <c r="B104" s="45">
        <v>791.0</v>
      </c>
    </row>
    <row r="105">
      <c r="A105" s="45" t="s">
        <v>199</v>
      </c>
      <c r="B105" s="45">
        <v>891.0</v>
      </c>
    </row>
    <row r="106">
      <c r="A106" s="45" t="s">
        <v>200</v>
      </c>
      <c r="B106" s="45">
        <v>891.0</v>
      </c>
    </row>
    <row r="107">
      <c r="A107" s="45" t="s">
        <v>201</v>
      </c>
      <c r="B107" s="45">
        <v>950.0</v>
      </c>
    </row>
    <row r="108">
      <c r="A108" s="45" t="s">
        <v>202</v>
      </c>
      <c r="B108" s="45">
        <v>1009.0</v>
      </c>
    </row>
    <row r="109">
      <c r="A109" s="45" t="s">
        <v>203</v>
      </c>
      <c r="B109" s="45">
        <v>499.0</v>
      </c>
    </row>
    <row r="110">
      <c r="A110" s="45" t="s">
        <v>204</v>
      </c>
      <c r="B110" s="45">
        <v>499.0</v>
      </c>
    </row>
    <row r="111">
      <c r="A111" s="45" t="s">
        <v>205</v>
      </c>
      <c r="B111" s="45">
        <v>599.0</v>
      </c>
    </row>
    <row r="112">
      <c r="A112" s="45" t="s">
        <v>206</v>
      </c>
      <c r="B112" s="45">
        <v>599.0</v>
      </c>
    </row>
    <row r="113">
      <c r="A113" s="45" t="s">
        <v>207</v>
      </c>
      <c r="B113" s="45">
        <v>659.0</v>
      </c>
    </row>
    <row r="114">
      <c r="A114" s="45" t="s">
        <v>208</v>
      </c>
      <c r="B114" s="45">
        <v>659.0</v>
      </c>
    </row>
    <row r="115">
      <c r="A115" s="45" t="s">
        <v>209</v>
      </c>
      <c r="B115" s="45">
        <v>791.0</v>
      </c>
    </row>
    <row r="116">
      <c r="A116" s="45" t="s">
        <v>210</v>
      </c>
      <c r="B116" s="45">
        <v>719.0</v>
      </c>
    </row>
    <row r="117">
      <c r="A117" s="45" t="s">
        <v>211</v>
      </c>
      <c r="B117" s="45">
        <v>799.0</v>
      </c>
    </row>
    <row r="118">
      <c r="A118" s="45" t="s">
        <v>212</v>
      </c>
      <c r="B118" s="45">
        <v>799.0</v>
      </c>
    </row>
    <row r="119">
      <c r="A119" s="45" t="s">
        <v>213</v>
      </c>
      <c r="B119" s="45">
        <v>899.0</v>
      </c>
    </row>
    <row r="120">
      <c r="A120" s="45" t="s">
        <v>214</v>
      </c>
      <c r="B120" s="45">
        <v>899.0</v>
      </c>
    </row>
    <row r="121">
      <c r="A121" s="45" t="s">
        <v>215</v>
      </c>
      <c r="B121" s="45">
        <v>959.0</v>
      </c>
    </row>
    <row r="122">
      <c r="A122" s="45" t="s">
        <v>216</v>
      </c>
      <c r="B122" s="45">
        <v>959.0</v>
      </c>
    </row>
    <row r="123">
      <c r="A123" s="45" t="s">
        <v>217</v>
      </c>
      <c r="B123" s="45">
        <v>1019.0</v>
      </c>
    </row>
    <row r="124">
      <c r="A124" s="45" t="s">
        <v>218</v>
      </c>
      <c r="B124" s="45">
        <v>1019.0</v>
      </c>
    </row>
    <row r="125">
      <c r="A125" s="45" t="s">
        <v>219</v>
      </c>
      <c r="B125" s="45">
        <v>599.0</v>
      </c>
    </row>
    <row r="126">
      <c r="A126" s="45" t="s">
        <v>220</v>
      </c>
      <c r="B126" s="45">
        <v>599.0</v>
      </c>
    </row>
    <row r="127">
      <c r="A127" s="45" t="s">
        <v>221</v>
      </c>
      <c r="B127" s="45">
        <v>699.0</v>
      </c>
    </row>
    <row r="128">
      <c r="A128" s="45" t="s">
        <v>222</v>
      </c>
      <c r="B128" s="45">
        <v>699.0</v>
      </c>
    </row>
    <row r="129">
      <c r="A129" s="45" t="s">
        <v>223</v>
      </c>
      <c r="B129" s="45">
        <v>759.0</v>
      </c>
    </row>
    <row r="130">
      <c r="A130" s="45" t="s">
        <v>224</v>
      </c>
      <c r="B130" s="45">
        <v>759.0</v>
      </c>
    </row>
    <row r="131">
      <c r="A131" s="45" t="s">
        <v>225</v>
      </c>
      <c r="B131" s="45">
        <v>891.0</v>
      </c>
    </row>
    <row r="132">
      <c r="A132" s="45" t="s">
        <v>226</v>
      </c>
      <c r="B132" s="45">
        <v>891.0</v>
      </c>
    </row>
    <row r="133">
      <c r="A133" s="45" t="s">
        <v>227</v>
      </c>
      <c r="B133" s="45">
        <v>899.0</v>
      </c>
    </row>
    <row r="134">
      <c r="A134" s="45" t="s">
        <v>228</v>
      </c>
      <c r="B134" s="45">
        <v>899.0</v>
      </c>
    </row>
    <row r="135">
      <c r="A135" s="45" t="s">
        <v>229</v>
      </c>
      <c r="B135" s="45">
        <v>999.0</v>
      </c>
    </row>
    <row r="136">
      <c r="A136" s="45" t="s">
        <v>230</v>
      </c>
      <c r="B136" s="45">
        <v>999.0</v>
      </c>
    </row>
    <row r="137">
      <c r="A137" s="45" t="s">
        <v>231</v>
      </c>
      <c r="B137" s="45">
        <v>1059.0</v>
      </c>
    </row>
    <row r="138">
      <c r="A138" s="45" t="s">
        <v>232</v>
      </c>
      <c r="B138" s="45">
        <v>1059.0</v>
      </c>
    </row>
    <row r="139">
      <c r="A139" s="45" t="s">
        <v>233</v>
      </c>
      <c r="B139" s="45">
        <v>1119.0</v>
      </c>
    </row>
    <row r="140">
      <c r="A140" s="45" t="s">
        <v>234</v>
      </c>
      <c r="B140" s="45">
        <v>1119.0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2025-05-19T08:52:23Z</dcterms:created>
  <dc:creator>Sučanský Peter</dc:creator>
</cp:coreProperties>
</file>